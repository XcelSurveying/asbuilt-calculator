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120" windowWidth="7470" windowHeight="2640" tabRatio="605" activeTab="2"/>
  </bookViews>
  <sheets>
    <sheet name="Import" sheetId="1" r:id="rId1"/>
    <sheet name="Calc Intersection" sheetId="2" r:id="rId2"/>
    <sheet name="Export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6" i="2" l="1"/>
  <c r="A46" i="2"/>
  <c r="Q8" i="2"/>
  <c r="Q4" i="2"/>
  <c r="Q3" i="2"/>
  <c r="Q9" i="2"/>
  <c r="Q7" i="2"/>
  <c r="Q10" i="2"/>
  <c r="Q5" i="2"/>
  <c r="Q6" i="2"/>
  <c r="E19" i="2" l="1"/>
  <c r="E20" i="2"/>
  <c r="E21" i="2"/>
  <c r="E18" i="2"/>
  <c r="A18" i="2"/>
  <c r="F18" i="2"/>
  <c r="F19" i="2" l="1"/>
  <c r="F20" i="2"/>
  <c r="F21" i="2"/>
  <c r="A35" i="2"/>
  <c r="A34" i="2"/>
  <c r="A21" i="2"/>
  <c r="A43" i="2" s="1"/>
  <c r="A20" i="2"/>
  <c r="A42" i="2" s="1"/>
  <c r="A19" i="2"/>
  <c r="A41" i="2" s="1"/>
  <c r="A40" i="2"/>
  <c r="A29" i="2" l="1"/>
  <c r="E30" i="2" s="1"/>
  <c r="A31" i="2"/>
  <c r="E34" i="2" s="1"/>
  <c r="A30" i="2"/>
  <c r="B30" i="2" s="1"/>
  <c r="A28" i="2"/>
  <c r="A32" i="2" s="1"/>
  <c r="E35" i="2" s="1"/>
  <c r="E31" i="2" l="1"/>
  <c r="H30" i="2" s="1" a="1"/>
  <c r="H31" i="2" s="1"/>
  <c r="B28" i="2"/>
  <c r="B32" i="2" s="1"/>
  <c r="K35" i="2" s="1"/>
  <c r="K31" i="2"/>
  <c r="E28" i="2"/>
  <c r="E32" i="2"/>
  <c r="H34" i="2" a="1"/>
  <c r="H34" i="2" s="1"/>
  <c r="B29" i="2"/>
  <c r="E29" i="2"/>
  <c r="E33" i="2"/>
  <c r="B31" i="2"/>
  <c r="K28" i="2" l="1"/>
  <c r="H28" i="2" a="1"/>
  <c r="H29" i="2" s="1"/>
  <c r="H32" i="2" a="1"/>
  <c r="H33" i="2" s="1"/>
  <c r="H35" i="2"/>
  <c r="I30" i="2"/>
  <c r="K32" i="2"/>
  <c r="H30" i="2"/>
  <c r="I34" i="2"/>
  <c r="K30" i="2"/>
  <c r="K29" i="2"/>
  <c r="K33" i="2"/>
  <c r="K34" i="2"/>
  <c r="I31" i="2"/>
  <c r="I35" i="2"/>
  <c r="I28" i="2" l="1"/>
  <c r="M30" i="2" a="1"/>
  <c r="M31" i="2" s="1"/>
  <c r="H28" i="2"/>
  <c r="I29" i="2"/>
  <c r="I32" i="2"/>
  <c r="H32" i="2"/>
  <c r="I33" i="2"/>
  <c r="M34" i="2" a="1"/>
  <c r="M35" i="2" s="1"/>
  <c r="M28" i="2" l="1" a="1"/>
  <c r="M28" i="2" s="1"/>
  <c r="M30" i="2"/>
  <c r="B19" i="2" s="1" a="1"/>
  <c r="B19" i="2" s="1"/>
  <c r="B41" i="2" s="1"/>
  <c r="M32" i="2" a="1"/>
  <c r="M33" i="2" s="1"/>
  <c r="M34" i="2"/>
  <c r="B21" i="2" s="1" a="1"/>
  <c r="B21" i="2" s="1"/>
  <c r="M29" i="2" l="1"/>
  <c r="B18" i="2" s="1" a="1"/>
  <c r="C19" i="2"/>
  <c r="C41" i="2" s="1"/>
  <c r="M32" i="2"/>
  <c r="B20" i="2" s="1" a="1"/>
  <c r="B20" i="2" s="1"/>
  <c r="B42" i="2" s="1"/>
  <c r="B43" i="2"/>
  <c r="C21" i="2"/>
  <c r="C43" i="2" s="1"/>
  <c r="C18" i="2" l="1"/>
  <c r="C40" i="2" s="1"/>
  <c r="B18" i="2"/>
  <c r="B40" i="2" s="1"/>
  <c r="F41" i="2"/>
  <c r="G41" i="2"/>
  <c r="E41" i="2"/>
  <c r="H41" i="2"/>
  <c r="C20" i="2"/>
  <c r="C42" i="2" s="1"/>
  <c r="E43" i="2"/>
  <c r="F43" i="2"/>
  <c r="H43" i="2"/>
  <c r="G43" i="2"/>
  <c r="J41" i="2" l="1"/>
  <c r="K41" i="2"/>
  <c r="F42" i="2"/>
  <c r="M41" i="2"/>
  <c r="L41" i="2"/>
  <c r="E42" i="2"/>
  <c r="G42" i="2"/>
  <c r="H42" i="2"/>
  <c r="J43" i="2"/>
  <c r="M43" i="2"/>
  <c r="G40" i="2"/>
  <c r="H40" i="2"/>
  <c r="L43" i="2"/>
  <c r="E40" i="2"/>
  <c r="F40" i="2"/>
  <c r="K43" i="2"/>
  <c r="L42" i="2" l="1"/>
  <c r="K42" i="2"/>
  <c r="J42" i="2"/>
  <c r="M42" i="2"/>
  <c r="J40" i="2"/>
  <c r="M40" i="2"/>
  <c r="K40" i="2"/>
  <c r="L40" i="2"/>
  <c r="O40" i="2" l="1" a="1"/>
  <c r="O40" i="2" s="1"/>
  <c r="D18" i="2" s="1"/>
  <c r="O41" i="2" l="1"/>
  <c r="D19" i="2" s="1"/>
  <c r="O42" i="2"/>
  <c r="D20" i="2" s="1"/>
  <c r="O43" i="2"/>
  <c r="D21" i="2" s="1"/>
</calcChain>
</file>

<file path=xl/sharedStrings.xml><?xml version="1.0" encoding="utf-8"?>
<sst xmlns="http://schemas.openxmlformats.org/spreadsheetml/2006/main" count="477" uniqueCount="233">
  <si>
    <t>x</t>
  </si>
  <si>
    <t>y</t>
  </si>
  <si>
    <t>COL</t>
  </si>
  <si>
    <t>CE</t>
  </si>
  <si>
    <t>#1</t>
  </si>
  <si>
    <t>x^-1</t>
  </si>
  <si>
    <t>#2</t>
  </si>
  <si>
    <t>#3</t>
  </si>
  <si>
    <t>#4</t>
  </si>
  <si>
    <t>Distance check for closest</t>
  </si>
  <si>
    <t>m (slope)</t>
  </si>
  <si>
    <t>b (const)</t>
  </si>
  <si>
    <t>Intersected Points from line equation</t>
  </si>
  <si>
    <t xml:space="preserve">y^-1 </t>
  </si>
  <si>
    <t>TPS0011</t>
  </si>
  <si>
    <t>Calculated Points</t>
  </si>
  <si>
    <t>Observed Points</t>
  </si>
  <si>
    <t>TPS0001</t>
  </si>
  <si>
    <t>TPS0002</t>
  </si>
  <si>
    <t>TPS0003</t>
  </si>
  <si>
    <t>TPS0004</t>
  </si>
  <si>
    <t>TPS0005</t>
  </si>
  <si>
    <t>TPS0006</t>
  </si>
  <si>
    <t>TPS0007</t>
  </si>
  <si>
    <t>TPS0008</t>
  </si>
  <si>
    <t>TPS0009</t>
  </si>
  <si>
    <t>TPS0010</t>
  </si>
  <si>
    <t>TPS0012</t>
  </si>
  <si>
    <t>TPS0013</t>
  </si>
  <si>
    <t>TPS0014</t>
  </si>
  <si>
    <t>TPS0016</t>
  </si>
  <si>
    <t>TPS0017</t>
  </si>
  <si>
    <t>TPS0018</t>
  </si>
  <si>
    <t>TPS0019</t>
  </si>
  <si>
    <t>TPS0020</t>
  </si>
  <si>
    <t>TPS0021</t>
  </si>
  <si>
    <t>TPS0022</t>
  </si>
  <si>
    <t>TPS0023</t>
  </si>
  <si>
    <t>TPS0024</t>
  </si>
  <si>
    <t>TPS0025</t>
  </si>
  <si>
    <t>TPS0026</t>
  </si>
  <si>
    <t>TPS0027</t>
  </si>
  <si>
    <t>TPS0028</t>
  </si>
  <si>
    <t>TPS0029</t>
  </si>
  <si>
    <t>TPS0030</t>
  </si>
  <si>
    <t>TPS0031</t>
  </si>
  <si>
    <t>TPS0032</t>
  </si>
  <si>
    <t>TPS0033</t>
  </si>
  <si>
    <t>TPS0034</t>
  </si>
  <si>
    <t>TPS0035</t>
  </si>
  <si>
    <t>PC</t>
  </si>
  <si>
    <t>TPS0036</t>
  </si>
  <si>
    <t>TPS0037</t>
  </si>
  <si>
    <t>TPS0038</t>
  </si>
  <si>
    <t>TPS0039</t>
  </si>
  <si>
    <t>TPS0040</t>
  </si>
  <si>
    <t>TPS0041</t>
  </si>
  <si>
    <t>TPS0042</t>
  </si>
  <si>
    <t>TPS0043</t>
  </si>
  <si>
    <t>TPS0044</t>
  </si>
  <si>
    <t>TPS0045</t>
  </si>
  <si>
    <t>TPS0046</t>
  </si>
  <si>
    <t>TPS0047</t>
  </si>
  <si>
    <t>TPS0048</t>
  </si>
  <si>
    <t>TPS0049</t>
  </si>
  <si>
    <t>TPS0050</t>
  </si>
  <si>
    <t>TPS0051</t>
  </si>
  <si>
    <t>TPS0052</t>
  </si>
  <si>
    <t>TPS0053</t>
  </si>
  <si>
    <t>TPS0054</t>
  </si>
  <si>
    <t>TPS0055</t>
  </si>
  <si>
    <t>TPS0056</t>
  </si>
  <si>
    <t>TPS0057</t>
  </si>
  <si>
    <t>TPS0058</t>
  </si>
  <si>
    <t>TPS0059</t>
  </si>
  <si>
    <t>TPS0060</t>
  </si>
  <si>
    <t>TPS0061</t>
  </si>
  <si>
    <t>TPS0062</t>
  </si>
  <si>
    <t>TPS0063</t>
  </si>
  <si>
    <t>TPS0064</t>
  </si>
  <si>
    <t>TPS0065</t>
  </si>
  <si>
    <t>TPS0066</t>
  </si>
  <si>
    <t>TPS0067</t>
  </si>
  <si>
    <t>TPS0068</t>
  </si>
  <si>
    <t>TPS0069</t>
  </si>
  <si>
    <t>TPS0070</t>
  </si>
  <si>
    <t>TPS0071</t>
  </si>
  <si>
    <t>TPS0072</t>
  </si>
  <si>
    <t>TPS0073</t>
  </si>
  <si>
    <t>TPS0074</t>
  </si>
  <si>
    <t>TPS0075</t>
  </si>
  <si>
    <t>TPS0076</t>
  </si>
  <si>
    <t>TPS0077</t>
  </si>
  <si>
    <t>TPS0078</t>
  </si>
  <si>
    <t>TPS0079</t>
  </si>
  <si>
    <t>TPS0080</t>
  </si>
  <si>
    <t>TPS0081</t>
  </si>
  <si>
    <t>TPS0082</t>
  </si>
  <si>
    <t>TPS0083</t>
  </si>
  <si>
    <t>TPS0084</t>
  </si>
  <si>
    <t>TPS0085</t>
  </si>
  <si>
    <t>TPS0086</t>
  </si>
  <si>
    <t>TPS0087</t>
  </si>
  <si>
    <t>TPS0088</t>
  </si>
  <si>
    <t>TPS0089</t>
  </si>
  <si>
    <t>TPS0090</t>
  </si>
  <si>
    <t>TPS0091</t>
  </si>
  <si>
    <t>TPS0092</t>
  </si>
  <si>
    <t>TPS0093</t>
  </si>
  <si>
    <t>TPS0094</t>
  </si>
  <si>
    <t>TPS0095</t>
  </si>
  <si>
    <t>TPS0096</t>
  </si>
  <si>
    <t>TPS0097</t>
  </si>
  <si>
    <t>TPS0098</t>
  </si>
  <si>
    <t>TPS0099</t>
  </si>
  <si>
    <t>TPS0100</t>
  </si>
  <si>
    <t>TPS0101</t>
  </si>
  <si>
    <t>TPS0102</t>
  </si>
  <si>
    <t>TPS0103</t>
  </si>
  <si>
    <t>TPS0104</t>
  </si>
  <si>
    <t>TPS0105</t>
  </si>
  <si>
    <t>TPS0106</t>
  </si>
  <si>
    <t>TPS0107</t>
  </si>
  <si>
    <t>TPS0108</t>
  </si>
  <si>
    <t>TPS0109</t>
  </si>
  <si>
    <t>TPS0110</t>
  </si>
  <si>
    <t>TPS0111</t>
  </si>
  <si>
    <t>TPS0112</t>
  </si>
  <si>
    <t>TPS0113</t>
  </si>
  <si>
    <t>TPS0114</t>
  </si>
  <si>
    <t>TPS0115</t>
  </si>
  <si>
    <t>TPS0116</t>
  </si>
  <si>
    <t>TPS0117</t>
  </si>
  <si>
    <t>TPS0118</t>
  </si>
  <si>
    <t>TPS0119</t>
  </si>
  <si>
    <t>TPS0120</t>
  </si>
  <si>
    <t>TPS0121</t>
  </si>
  <si>
    <t>TPS0122</t>
  </si>
  <si>
    <t>TPS0123</t>
  </si>
  <si>
    <t>TPS0124</t>
  </si>
  <si>
    <t>TPS0125</t>
  </si>
  <si>
    <t>TPS0126</t>
  </si>
  <si>
    <t>TPS0127</t>
  </si>
  <si>
    <t>TPS0128</t>
  </si>
  <si>
    <t>TPS0129</t>
  </si>
  <si>
    <t>TPS0130</t>
  </si>
  <si>
    <t>TPS0131</t>
  </si>
  <si>
    <t>TPS0132</t>
  </si>
  <si>
    <t>TPS0134</t>
  </si>
  <si>
    <t>TPS0135</t>
  </si>
  <si>
    <t>TPS0136</t>
  </si>
  <si>
    <t>TPS0137</t>
  </si>
  <si>
    <t>TPS0138</t>
  </si>
  <si>
    <t>TPS0139</t>
  </si>
  <si>
    <t>TPS0140</t>
  </si>
  <si>
    <t>TPS0141</t>
  </si>
  <si>
    <t>TPS0142</t>
  </si>
  <si>
    <t>TPS0143</t>
  </si>
  <si>
    <t>TPS0144</t>
  </si>
  <si>
    <t>TPS0139_calc</t>
  </si>
  <si>
    <t>TPS0141_calc</t>
  </si>
  <si>
    <t>TPS0131_calc</t>
  </si>
  <si>
    <t>TPS0135_calc</t>
  </si>
  <si>
    <t>TPS0123_calc</t>
  </si>
  <si>
    <t>TPS0125_calc</t>
  </si>
  <si>
    <t>TPS0117_calc</t>
  </si>
  <si>
    <t>TPS0119_calc</t>
  </si>
  <si>
    <t>TPS0109_calc</t>
  </si>
  <si>
    <t>TPS0111_calc</t>
  </si>
  <si>
    <t>TPS0099_calc</t>
  </si>
  <si>
    <t>TPS0103_calc</t>
  </si>
  <si>
    <t>TPS0093_calc</t>
  </si>
  <si>
    <t>TPS0095_calc</t>
  </si>
  <si>
    <t>TPS0084_calc</t>
  </si>
  <si>
    <t>TPS0083_calc</t>
  </si>
  <si>
    <t>TPS0085_calc</t>
  </si>
  <si>
    <t>TPS0087_calc</t>
  </si>
  <si>
    <t>TPS0075_calc</t>
  </si>
  <si>
    <t>TPS0079_calc</t>
  </si>
  <si>
    <t>TPS0067_calc</t>
  </si>
  <si>
    <t>TPS0071_calc</t>
  </si>
  <si>
    <t>TPS0059_calc</t>
  </si>
  <si>
    <t>TPS0063_calc</t>
  </si>
  <si>
    <t>TPS0053_calc</t>
  </si>
  <si>
    <t>TPS0055_calc</t>
  </si>
  <si>
    <t>group center</t>
  </si>
  <si>
    <t>Bearing from center</t>
  </si>
  <si>
    <t>TPS0138_calc</t>
  </si>
  <si>
    <t>TPS0137_calc</t>
  </si>
  <si>
    <t>TPS0136_calc</t>
  </si>
  <si>
    <t>TPS0129_calc</t>
  </si>
  <si>
    <t>TPS0122_calc</t>
  </si>
  <si>
    <t>TPS0121_calc</t>
  </si>
  <si>
    <t>TPS0118_calc</t>
  </si>
  <si>
    <t>TPS0113_calc</t>
  </si>
  <si>
    <t>TPS0110_calc</t>
  </si>
  <si>
    <t>TPS0105_calc</t>
  </si>
  <si>
    <t>TPS0104_calc</t>
  </si>
  <si>
    <t>TPS0097_calc</t>
  </si>
  <si>
    <t>TPS0094_calc</t>
  </si>
  <si>
    <t>TPS0089_calc</t>
  </si>
  <si>
    <t>TPS0080_calc</t>
  </si>
  <si>
    <t>TPS0073_calc</t>
  </si>
  <si>
    <t>TPS0072_calc</t>
  </si>
  <si>
    <t>TPS0065_calc</t>
  </si>
  <si>
    <t>TPS0064_calc</t>
  </si>
  <si>
    <t>TPS0057_calc</t>
  </si>
  <si>
    <t>TPS0054_calc</t>
  </si>
  <si>
    <t>TPS0049_calc</t>
  </si>
  <si>
    <t>D:\150410MRS1.CSV</t>
  </si>
  <si>
    <t>PT</t>
  </si>
  <si>
    <t>BT</t>
  </si>
  <si>
    <t>PTL</t>
  </si>
  <si>
    <t>PLT</t>
  </si>
  <si>
    <t>TPS0145</t>
  </si>
  <si>
    <t>TPS0146</t>
  </si>
  <si>
    <t>TPS0147</t>
  </si>
  <si>
    <t>TPS0148</t>
  </si>
  <si>
    <t>TPS0149</t>
  </si>
  <si>
    <t>TPS0150</t>
  </si>
  <si>
    <t>TPS0151</t>
  </si>
  <si>
    <t>TPS0152</t>
  </si>
  <si>
    <t>TPS0153</t>
  </si>
  <si>
    <t>TPS0154</t>
  </si>
  <si>
    <t>TPS0155</t>
  </si>
  <si>
    <t>TPS0156</t>
  </si>
  <si>
    <t>TPS0157</t>
  </si>
  <si>
    <t>TPS0158</t>
  </si>
  <si>
    <t>TPS0159</t>
  </si>
  <si>
    <t>TPS0160</t>
  </si>
  <si>
    <t>TPS0161</t>
  </si>
  <si>
    <t>TPS0162</t>
  </si>
  <si>
    <t>Data to be appended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</si>
</sst>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#.00\°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quotePrefix="1"/>
    <xf numFmtId="164" fontId="0" fillId="0" borderId="0" xfId="0" applyNumberFormat="1"/>
    <xf numFmtId="0" fontId="1" fillId="0" borderId="0" xfId="0" applyFont="1"/>
    <xf numFmtId="0" fontId="0" fillId="2" borderId="5" xfId="0" applyFill="1" applyBorder="1"/>
    <xf numFmtId="0" fontId="0" fillId="2" borderId="0" xfId="0" applyFill="1" applyBorder="1"/>
    <xf numFmtId="0" fontId="0" fillId="2" borderId="6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4" borderId="11" xfId="0" applyFill="1" applyBorder="1"/>
    <xf numFmtId="0" fontId="0" fillId="4" borderId="12" xfId="0" applyFill="1" applyBorder="1"/>
    <xf numFmtId="0" fontId="0" fillId="2" borderId="1" xfId="0" applyFill="1" applyBorder="1"/>
    <xf numFmtId="0" fontId="0" fillId="2" borderId="13" xfId="0" applyFill="1" applyBorder="1"/>
    <xf numFmtId="0" fontId="0" fillId="3" borderId="13" xfId="0" applyFill="1" applyBorder="1"/>
    <xf numFmtId="0" fontId="0" fillId="2" borderId="7" xfId="0" applyFill="1" applyBorder="1"/>
    <xf numFmtId="0" fontId="0" fillId="2" borderId="14" xfId="0" applyFill="1" applyBorder="1"/>
    <xf numFmtId="0" fontId="1" fillId="4" borderId="10" xfId="0" applyFont="1" applyFill="1" applyBorder="1"/>
    <xf numFmtId="0" fontId="1" fillId="2" borderId="5" xfId="0" applyFont="1" applyFill="1" applyBorder="1"/>
    <xf numFmtId="0" fontId="1" fillId="3" borderId="5" xfId="0" applyFont="1" applyFill="1" applyBorder="1"/>
    <xf numFmtId="0" fontId="1" fillId="4" borderId="1" xfId="0" applyFont="1" applyFill="1" applyBorder="1"/>
    <xf numFmtId="0" fontId="0" fillId="3" borderId="11" xfId="0" applyFill="1" applyBorder="1" applyAlignment="1">
      <alignment horizontal="right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3" borderId="1" xfId="0" applyFill="1" applyBorder="1"/>
    <xf numFmtId="0" fontId="0" fillId="4" borderId="10" xfId="0" quotePrefix="1" applyFill="1" applyBorder="1"/>
    <xf numFmtId="164" fontId="0" fillId="2" borderId="2" xfId="0" applyNumberFormat="1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0" fontId="0" fillId="2" borderId="15" xfId="0" applyFill="1" applyBorder="1"/>
    <xf numFmtId="164" fontId="0" fillId="2" borderId="5" xfId="0" applyNumberFormat="1" applyFill="1" applyBorder="1"/>
    <xf numFmtId="164" fontId="0" fillId="2" borderId="0" xfId="0" applyNumberFormat="1" applyFill="1" applyBorder="1"/>
    <xf numFmtId="164" fontId="0" fillId="2" borderId="6" xfId="0" applyNumberFormat="1" applyFill="1" applyBorder="1"/>
    <xf numFmtId="164" fontId="0" fillId="3" borderId="5" xfId="0" applyNumberFormat="1" applyFill="1" applyBorder="1"/>
    <xf numFmtId="164" fontId="0" fillId="3" borderId="0" xfId="0" applyNumberFormat="1" applyFill="1" applyBorder="1"/>
    <xf numFmtId="164" fontId="0" fillId="3" borderId="6" xfId="0" applyNumberFormat="1" applyFill="1" applyBorder="1"/>
    <xf numFmtId="164" fontId="0" fillId="3" borderId="7" xfId="0" applyNumberFormat="1" applyFill="1" applyBorder="1"/>
    <xf numFmtId="164" fontId="0" fillId="3" borderId="8" xfId="0" applyNumberFormat="1" applyFill="1" applyBorder="1"/>
    <xf numFmtId="164" fontId="0" fillId="3" borderId="9" xfId="0" applyNumberFormat="1" applyFill="1" applyBorder="1"/>
    <xf numFmtId="0" fontId="0" fillId="3" borderId="14" xfId="0" applyFill="1" applyBorder="1"/>
    <xf numFmtId="0" fontId="0" fillId="0" borderId="0" xfId="0" applyFill="1" applyBorder="1"/>
    <xf numFmtId="0" fontId="0" fillId="0" borderId="0" xfId="0" applyAlignment="1">
      <alignment horizontal="center"/>
    </xf>
    <xf numFmtId="0" fontId="3" fillId="0" borderId="0" xfId="0" applyFont="1"/>
    <xf numFmtId="165" fontId="0" fillId="0" borderId="0" xfId="0" applyNumberFormat="1"/>
    <xf numFmtId="0" fontId="0" fillId="4" borderId="2" xfId="0" applyFill="1" applyBorder="1"/>
    <xf numFmtId="0" fontId="0" fillId="4" borderId="4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Intersected</a:t>
            </a:r>
            <a:r>
              <a:rPr lang="en-AU" baseline="0"/>
              <a:t> points</a:t>
            </a:r>
            <a:endParaRPr lang="en-AU"/>
          </a:p>
        </c:rich>
      </c:tx>
      <c:layout>
        <c:manualLayout>
          <c:xMode val="edge"/>
          <c:yMode val="edge"/>
          <c:x val="0.33727077865266841"/>
          <c:y val="3.502424968618053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Intersection'!$B$3:$B$10</c:f>
              <c:numCache>
                <c:formatCode>General</c:formatCode>
                <c:ptCount val="8"/>
                <c:pt idx="0">
                  <c:v>1063.261</c:v>
                </c:pt>
                <c:pt idx="1">
                  <c:v>1063.383</c:v>
                </c:pt>
                <c:pt idx="2">
                  <c:v>1063.3789999999999</c:v>
                </c:pt>
                <c:pt idx="3">
                  <c:v>1063.2719999999999</c:v>
                </c:pt>
                <c:pt idx="4">
                  <c:v>1063.0709999999999</c:v>
                </c:pt>
                <c:pt idx="5">
                  <c:v>1062.98</c:v>
                </c:pt>
                <c:pt idx="6">
                  <c:v>1062.9829999999999</c:v>
                </c:pt>
                <c:pt idx="7">
                  <c:v>1063.0909999999999</c:v>
                </c:pt>
              </c:numCache>
            </c:numRef>
          </c:xVal>
          <c:yVal>
            <c:numRef>
              <c:f>'Calc Intersection'!$C$3:$C$10</c:f>
              <c:numCache>
                <c:formatCode>General</c:formatCode>
                <c:ptCount val="8"/>
                <c:pt idx="0">
                  <c:v>655.18499999999995</c:v>
                </c:pt>
                <c:pt idx="1">
                  <c:v>655.16300000000001</c:v>
                </c:pt>
                <c:pt idx="2">
                  <c:v>654.90800000000002</c:v>
                </c:pt>
                <c:pt idx="3">
                  <c:v>654.78200000000004</c:v>
                </c:pt>
                <c:pt idx="4">
                  <c:v>654.78399999999999</c:v>
                </c:pt>
                <c:pt idx="5">
                  <c:v>654.92499999999995</c:v>
                </c:pt>
                <c:pt idx="6">
                  <c:v>655.13900000000001</c:v>
                </c:pt>
                <c:pt idx="7">
                  <c:v>655.18600000000004</c:v>
                </c:pt>
              </c:numCache>
            </c:numRef>
          </c:yVal>
          <c:smooth val="0"/>
        </c:ser>
        <c:ser>
          <c:idx val="1"/>
          <c:order val="1"/>
          <c:tx>
            <c:v>intersect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'Calc Intersection'!$B$18:$B$21</c:f>
              <c:numCache>
                <c:formatCode>0.000</c:formatCode>
                <c:ptCount val="4"/>
                <c:pt idx="0">
                  <c:v>1063.3833327333102</c:v>
                </c:pt>
                <c:pt idx="1">
                  <c:v>1063.3770076140249</c:v>
                </c:pt>
                <c:pt idx="2">
                  <c:v>1062.9778709068628</c:v>
                </c:pt>
                <c:pt idx="3">
                  <c:v>1062.983689971295</c:v>
                </c:pt>
              </c:numCache>
            </c:numRef>
          </c:xVal>
          <c:yVal>
            <c:numRef>
              <c:f>'Calc Intersection'!$C$18:$C$21</c:f>
              <c:numCache>
                <c:formatCode>0.000</c:formatCode>
                <c:ptCount val="4"/>
                <c:pt idx="0">
                  <c:v>655.18428081873401</c:v>
                </c:pt>
                <c:pt idx="1">
                  <c:v>654.7809536325135</c:v>
                </c:pt>
                <c:pt idx="2">
                  <c:v>654.78492711889635</c:v>
                </c:pt>
                <c:pt idx="3">
                  <c:v>655.18663027647676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'Calc Intersection'!$D$12:$D$15</c:f>
              <c:strCache>
                <c:ptCount val="4"/>
                <c:pt idx="0">
                  <c:v>16.399</c:v>
                </c:pt>
                <c:pt idx="1">
                  <c:v>16.398</c:v>
                </c:pt>
                <c:pt idx="2">
                  <c:v>16.399</c:v>
                </c:pt>
                <c:pt idx="3">
                  <c:v>16.399</c:v>
                </c:pt>
              </c:strCache>
            </c:strRef>
          </c:tx>
          <c:spPr>
            <a:ln w="19050">
              <a:noFill/>
            </a:ln>
          </c:spPr>
          <c:xVal>
            <c:numRef>
              <c:f>'Calc Intersection'!$B$12:$B$15</c:f>
              <c:numCache>
                <c:formatCode>General</c:formatCode>
                <c:ptCount val="4"/>
                <c:pt idx="0">
                  <c:v>1055.03</c:v>
                </c:pt>
                <c:pt idx="1">
                  <c:v>1055.3330000000001</c:v>
                </c:pt>
                <c:pt idx="2">
                  <c:v>1055.338</c:v>
                </c:pt>
                <c:pt idx="3">
                  <c:v>1055.019</c:v>
                </c:pt>
              </c:numCache>
            </c:numRef>
          </c:xVal>
          <c:yVal>
            <c:numRef>
              <c:f>'Calc Intersection'!$C$12:$C$15</c:f>
              <c:numCache>
                <c:formatCode>General</c:formatCode>
                <c:ptCount val="4"/>
                <c:pt idx="0">
                  <c:v>655.12400000000002</c:v>
                </c:pt>
                <c:pt idx="1">
                  <c:v>655.12800000000004</c:v>
                </c:pt>
                <c:pt idx="2">
                  <c:v>654.81700000000001</c:v>
                </c:pt>
                <c:pt idx="3">
                  <c:v>654.83000000000004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71176"/>
        <c:axId val="207355760"/>
      </c:scatterChart>
      <c:valAx>
        <c:axId val="208371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55760"/>
        <c:crosses val="autoZero"/>
        <c:crossBetween val="midCat"/>
      </c:valAx>
      <c:valAx>
        <c:axId val="20735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71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8</xdr:row>
          <xdr:rowOff>161925</xdr:rowOff>
        </xdr:from>
        <xdr:to>
          <xdr:col>9</xdr:col>
          <xdr:colOff>118782</xdr:colOff>
          <xdr:row>21</xdr:row>
          <xdr:rowOff>142875</xdr:rowOff>
        </xdr:to>
        <xdr:sp macro="" textlink="">
          <xdr:nvSpPr>
            <xdr:cNvPr id="2055" name="lstFND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28</xdr:row>
          <xdr:rowOff>161925</xdr:rowOff>
        </xdr:from>
        <xdr:to>
          <xdr:col>9</xdr:col>
          <xdr:colOff>495300</xdr:colOff>
          <xdr:row>30</xdr:row>
          <xdr:rowOff>114300</xdr:rowOff>
        </xdr:to>
        <xdr:sp macro="" textlink="">
          <xdr:nvSpPr>
            <xdr:cNvPr id="2056" name="cmdUpdateLB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</xdr:row>
          <xdr:rowOff>0</xdr:rowOff>
        </xdr:from>
        <xdr:to>
          <xdr:col>13</xdr:col>
          <xdr:colOff>1</xdr:colOff>
          <xdr:row>32</xdr:row>
          <xdr:rowOff>180975</xdr:rowOff>
        </xdr:to>
        <xdr:sp macro="" textlink="">
          <xdr:nvSpPr>
            <xdr:cNvPr id="2057" name="Group Box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Group Box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30</xdr:row>
          <xdr:rowOff>180975</xdr:rowOff>
        </xdr:from>
        <xdr:to>
          <xdr:col>12</xdr:col>
          <xdr:colOff>552449</xdr:colOff>
          <xdr:row>32</xdr:row>
          <xdr:rowOff>104775</xdr:rowOff>
        </xdr:to>
        <xdr:sp macro="" textlink="">
          <xdr:nvSpPr>
            <xdr:cNvPr id="2058" name="cmdImport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31</xdr:row>
          <xdr:rowOff>38100</xdr:rowOff>
        </xdr:from>
        <xdr:to>
          <xdr:col>9</xdr:col>
          <xdr:colOff>485775</xdr:colOff>
          <xdr:row>32</xdr:row>
          <xdr:rowOff>142875</xdr:rowOff>
        </xdr:to>
        <xdr:sp macro="" textlink="">
          <xdr:nvSpPr>
            <xdr:cNvPr id="2059" name="cmdCalculate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35</xdr:row>
          <xdr:rowOff>180975</xdr:rowOff>
        </xdr:from>
        <xdr:to>
          <xdr:col>9</xdr:col>
          <xdr:colOff>485775</xdr:colOff>
          <xdr:row>37</xdr:row>
          <xdr:rowOff>104775</xdr:rowOff>
        </xdr:to>
        <xdr:sp macro="" textlink="">
          <xdr:nvSpPr>
            <xdr:cNvPr id="2060" name="cmdPrev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35</xdr:row>
          <xdr:rowOff>180975</xdr:rowOff>
        </xdr:from>
        <xdr:to>
          <xdr:col>11</xdr:col>
          <xdr:colOff>466725</xdr:colOff>
          <xdr:row>37</xdr:row>
          <xdr:rowOff>104775</xdr:rowOff>
        </xdr:to>
        <xdr:sp macro="" textlink="">
          <xdr:nvSpPr>
            <xdr:cNvPr id="2061" name="cmdNext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195262</xdr:colOff>
      <xdr:row>0</xdr:row>
      <xdr:rowOff>185737</xdr:rowOff>
    </xdr:from>
    <xdr:to>
      <xdr:col>14</xdr:col>
      <xdr:colOff>538162</xdr:colOff>
      <xdr:row>19</xdr:row>
      <xdr:rowOff>71437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20</xdr:row>
          <xdr:rowOff>0</xdr:rowOff>
        </xdr:from>
        <xdr:to>
          <xdr:col>10</xdr:col>
          <xdr:colOff>495300</xdr:colOff>
          <xdr:row>21</xdr:row>
          <xdr:rowOff>114300</xdr:rowOff>
        </xdr:to>
        <xdr:sp macro="" textlink="">
          <xdr:nvSpPr>
            <xdr:cNvPr id="1026" name="cmdPrev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20</xdr:row>
          <xdr:rowOff>0</xdr:rowOff>
        </xdr:from>
        <xdr:to>
          <xdr:col>12</xdr:col>
          <xdr:colOff>400050</xdr:colOff>
          <xdr:row>21</xdr:row>
          <xdr:rowOff>114300</xdr:rowOff>
        </xdr:to>
        <xdr:sp macro="" textlink="">
          <xdr:nvSpPr>
            <xdr:cNvPr id="1027" name="cmdNex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22</xdr:row>
          <xdr:rowOff>95250</xdr:rowOff>
        </xdr:from>
        <xdr:to>
          <xdr:col>13</xdr:col>
          <xdr:colOff>304800</xdr:colOff>
          <xdr:row>24</xdr:row>
          <xdr:rowOff>28575</xdr:rowOff>
        </xdr:to>
        <xdr:sp macro="" textlink="">
          <xdr:nvSpPr>
            <xdr:cNvPr id="1028" name="cmdExpor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600074</xdr:colOff>
          <xdr:row>3</xdr:row>
          <xdr:rowOff>19049</xdr:rowOff>
        </xdr:from>
        <xdr:to>
          <xdr:col>13</xdr:col>
          <xdr:colOff>590549</xdr:colOff>
          <xdr:row>5</xdr:row>
          <xdr:rowOff>9524</xdr:rowOff>
        </xdr:to>
        <xdr:sp macro="" textlink="">
          <xdr:nvSpPr>
            <xdr:cNvPr id="4097" name="cmdExport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PX162"/>
  <sheetViews>
    <sheetView topLeftCell="A7" zoomScale="85" zoomScaleNormal="85" workbookViewId="0">
      <selection activeCell="P14" sqref="P14"/>
    </sheetView>
  </sheetViews>
  <sheetFormatPr defaultRowHeight="15" x14ac:dyDescent="0.25"/>
  <cols>
    <col min="1" max="1" width="21" bestFit="1" customWidth="1"/>
    <col min="2" max="2" width="9.28515625" bestFit="1" customWidth="1"/>
    <col min="3" max="3" width="8.140625" customWidth="1"/>
    <col min="4" max="4" width="7.140625" customWidth="1"/>
    <col min="5" max="5" width="4" bestFit="1" customWidth="1"/>
    <col min="6" max="6" width="3.140625" bestFit="1" customWidth="1"/>
    <col min="10" max="10" width="18" bestFit="1" customWidth="1"/>
    <col min="13" max="13" width="9.140625" customWidth="1"/>
    <col min="15" max="15" width="8.5703125" customWidth="1"/>
    <col min="16" max="16" width="9.28515625" bestFit="1" customWidth="1"/>
    <col min="17" max="17" width="8.140625" customWidth="1"/>
    <col min="18" max="18" width="7.140625" customWidth="1"/>
    <col min="19" max="19" width="4.42578125" customWidth="1"/>
    <col min="20" max="20" width="3.140625" bestFit="1" customWidth="1"/>
    <col min="22" max="22" width="8.5703125" bestFit="1" customWidth="1"/>
    <col min="23" max="23" width="9.28515625" bestFit="1" customWidth="1"/>
    <col min="24" max="24" width="8.140625" bestFit="1" customWidth="1"/>
    <col min="25" max="25" width="7.140625" bestFit="1" customWidth="1"/>
    <col min="26" max="26" width="4.42578125" bestFit="1" customWidth="1"/>
    <col min="27" max="27" width="2.140625" bestFit="1" customWidth="1"/>
  </cols>
  <sheetData>
    <row r="1" spans="1:20 13955:13960" x14ac:dyDescent="0.25">
      <c r="A1" t="s">
        <v>17</v>
      </c>
      <c r="B1">
        <v>1869.059</v>
      </c>
      <c r="C1">
        <v>698.48</v>
      </c>
      <c r="D1">
        <v>12.071999999999999</v>
      </c>
      <c r="E1" t="s">
        <v>210</v>
      </c>
      <c r="F1">
        <v>1</v>
      </c>
      <c r="O1" t="s">
        <v>224</v>
      </c>
      <c r="P1">
        <v>1852.606</v>
      </c>
      <c r="Q1">
        <v>698.47799999999995</v>
      </c>
      <c r="R1">
        <v>12.077</v>
      </c>
      <c r="S1" t="s">
        <v>210</v>
      </c>
      <c r="T1">
        <v>17</v>
      </c>
    </row>
    <row r="2" spans="1:20 13955:13960" x14ac:dyDescent="0.25">
      <c r="A2" t="s">
        <v>18</v>
      </c>
      <c r="B2">
        <v>1869.606</v>
      </c>
      <c r="C2">
        <v>698.46799999999996</v>
      </c>
      <c r="D2">
        <v>12.074</v>
      </c>
      <c r="E2" t="s">
        <v>210</v>
      </c>
      <c r="F2">
        <v>1</v>
      </c>
      <c r="O2" t="s">
        <v>225</v>
      </c>
      <c r="P2">
        <v>1852.6089999999999</v>
      </c>
      <c r="Q2">
        <v>697.92499999999995</v>
      </c>
      <c r="R2">
        <v>12.08</v>
      </c>
      <c r="S2" t="s">
        <v>210</v>
      </c>
      <c r="T2">
        <v>17</v>
      </c>
    </row>
    <row r="3" spans="1:20 13955:13960" x14ac:dyDescent="0.25">
      <c r="A3" t="s">
        <v>19</v>
      </c>
      <c r="B3">
        <v>1869.6030000000001</v>
      </c>
      <c r="C3">
        <v>697.92899999999997</v>
      </c>
      <c r="D3">
        <v>12.074999999999999</v>
      </c>
      <c r="E3" t="s">
        <v>210</v>
      </c>
      <c r="F3">
        <v>1</v>
      </c>
      <c r="O3" t="s">
        <v>226</v>
      </c>
      <c r="P3">
        <v>1852.06</v>
      </c>
      <c r="Q3">
        <v>697.92200000000003</v>
      </c>
      <c r="R3">
        <v>12.079000000000001</v>
      </c>
      <c r="S3" t="s">
        <v>210</v>
      </c>
      <c r="T3">
        <v>17</v>
      </c>
    </row>
    <row r="4" spans="1:20 13955:13960" x14ac:dyDescent="0.25">
      <c r="A4" t="s">
        <v>20</v>
      </c>
      <c r="B4">
        <v>1869.057</v>
      </c>
      <c r="C4">
        <v>697.93299999999999</v>
      </c>
      <c r="D4">
        <v>12.073</v>
      </c>
      <c r="E4" t="s">
        <v>210</v>
      </c>
      <c r="F4">
        <v>1</v>
      </c>
      <c r="O4" t="s">
        <v>227</v>
      </c>
      <c r="P4">
        <v>1852.059</v>
      </c>
      <c r="Q4">
        <v>698.47</v>
      </c>
      <c r="R4">
        <v>12.077999999999999</v>
      </c>
      <c r="S4" t="s">
        <v>210</v>
      </c>
      <c r="T4">
        <v>17</v>
      </c>
    </row>
    <row r="5" spans="1:20 13955:13960" x14ac:dyDescent="0.25">
      <c r="A5" t="s">
        <v>21</v>
      </c>
      <c r="B5">
        <v>1869.1890000000001</v>
      </c>
      <c r="C5">
        <v>698.06399999999996</v>
      </c>
      <c r="D5">
        <v>12.19</v>
      </c>
      <c r="E5" t="s">
        <v>211</v>
      </c>
      <c r="F5">
        <v>1</v>
      </c>
      <c r="J5" s="1"/>
      <c r="O5" t="s">
        <v>228</v>
      </c>
      <c r="P5">
        <v>1852.1890000000001</v>
      </c>
      <c r="Q5">
        <v>698.33600000000001</v>
      </c>
      <c r="R5">
        <v>12.194000000000001</v>
      </c>
      <c r="S5" t="s">
        <v>211</v>
      </c>
      <c r="T5">
        <v>17</v>
      </c>
    </row>
    <row r="6" spans="1:20 13955:13960" x14ac:dyDescent="0.25">
      <c r="A6" t="s">
        <v>22</v>
      </c>
      <c r="B6">
        <v>1869.19</v>
      </c>
      <c r="C6">
        <v>698.34400000000005</v>
      </c>
      <c r="D6">
        <v>12.188000000000001</v>
      </c>
      <c r="E6" t="s">
        <v>211</v>
      </c>
      <c r="F6">
        <v>1</v>
      </c>
      <c r="O6" t="s">
        <v>229</v>
      </c>
      <c r="P6">
        <v>1852.4670000000001</v>
      </c>
      <c r="Q6">
        <v>698.33799999999997</v>
      </c>
      <c r="R6">
        <v>12.194000000000001</v>
      </c>
      <c r="S6" t="s">
        <v>211</v>
      </c>
      <c r="T6">
        <v>17</v>
      </c>
    </row>
    <row r="7" spans="1:20 13955:13960" x14ac:dyDescent="0.25">
      <c r="A7" t="s">
        <v>23</v>
      </c>
      <c r="B7">
        <v>1869.47</v>
      </c>
      <c r="C7">
        <v>698.34500000000003</v>
      </c>
      <c r="D7">
        <v>12.186999999999999</v>
      </c>
      <c r="E7" t="s">
        <v>211</v>
      </c>
      <c r="F7">
        <v>1</v>
      </c>
      <c r="H7" s="47"/>
      <c r="I7" s="47"/>
      <c r="J7" s="47"/>
      <c r="K7" s="47"/>
      <c r="L7" s="47"/>
      <c r="M7" s="48" t="e">
        <v>#N/A</v>
      </c>
      <c r="O7" t="s">
        <v>230</v>
      </c>
      <c r="P7">
        <v>1852.4680000000001</v>
      </c>
      <c r="Q7">
        <v>698.05899999999997</v>
      </c>
      <c r="R7">
        <v>12.19</v>
      </c>
      <c r="S7" t="s">
        <v>211</v>
      </c>
      <c r="T7">
        <v>17</v>
      </c>
    </row>
    <row r="8" spans="1:20 13955:13960" x14ac:dyDescent="0.25">
      <c r="A8" t="s">
        <v>24</v>
      </c>
      <c r="B8">
        <v>1869.47</v>
      </c>
      <c r="C8">
        <v>698.06700000000001</v>
      </c>
      <c r="D8">
        <v>12.192</v>
      </c>
      <c r="E8" t="s">
        <v>211</v>
      </c>
      <c r="F8">
        <v>1</v>
      </c>
      <c r="H8" s="47"/>
      <c r="I8" s="47"/>
      <c r="J8" s="47"/>
      <c r="K8" s="47"/>
      <c r="L8" s="47"/>
      <c r="M8" s="48">
        <v>160</v>
      </c>
      <c r="O8" t="s">
        <v>231</v>
      </c>
      <c r="P8">
        <v>1852.1890000000001</v>
      </c>
      <c r="Q8">
        <v>698.05600000000004</v>
      </c>
      <c r="R8">
        <v>12.192</v>
      </c>
      <c r="S8" t="s">
        <v>211</v>
      </c>
      <c r="T8">
        <v>17</v>
      </c>
    </row>
    <row r="9" spans="1:20 13955:13960" x14ac:dyDescent="0.25">
      <c r="A9" t="s">
        <v>25</v>
      </c>
      <c r="B9">
        <v>1869.606</v>
      </c>
      <c r="C9">
        <v>701.94299999999998</v>
      </c>
      <c r="D9">
        <v>12.077999999999999</v>
      </c>
      <c r="E9" t="s">
        <v>210</v>
      </c>
      <c r="F9">
        <v>2</v>
      </c>
      <c r="H9" s="47"/>
      <c r="I9" s="47"/>
      <c r="J9" s="47"/>
      <c r="K9" s="47"/>
      <c r="L9" s="47"/>
      <c r="M9" s="47"/>
    </row>
    <row r="10" spans="1:20 13955:13960" x14ac:dyDescent="0.25">
      <c r="A10" t="s">
        <v>26</v>
      </c>
      <c r="B10">
        <v>1869.056</v>
      </c>
      <c r="C10">
        <v>701.947</v>
      </c>
      <c r="D10">
        <v>12.08</v>
      </c>
      <c r="E10" t="s">
        <v>210</v>
      </c>
      <c r="F10">
        <v>2</v>
      </c>
      <c r="H10" s="47"/>
      <c r="I10" s="47"/>
      <c r="J10" s="47"/>
      <c r="K10" s="47"/>
      <c r="L10" s="47"/>
      <c r="M10" s="47"/>
    </row>
    <row r="11" spans="1:20 13955:13960" x14ac:dyDescent="0.25">
      <c r="A11" t="s">
        <v>14</v>
      </c>
      <c r="B11">
        <v>1869.0619999999999</v>
      </c>
      <c r="C11">
        <v>702.49300000000005</v>
      </c>
      <c r="D11">
        <v>12.079000000000001</v>
      </c>
      <c r="E11" t="s">
        <v>210</v>
      </c>
      <c r="F11">
        <v>2</v>
      </c>
      <c r="H11" s="47"/>
      <c r="I11" s="47"/>
      <c r="J11" s="47"/>
      <c r="K11" s="47"/>
      <c r="L11" s="47"/>
      <c r="M11" s="47"/>
      <c r="TPS11" t="s">
        <v>14</v>
      </c>
      <c r="TPT11">
        <v>1043.6300000000001</v>
      </c>
      <c r="TPU11">
        <v>650.01800000000003</v>
      </c>
      <c r="TPV11">
        <v>16.273</v>
      </c>
      <c r="TPW11" t="s">
        <v>2</v>
      </c>
      <c r="TPX11">
        <v>1</v>
      </c>
    </row>
    <row r="12" spans="1:20 13955:13960" x14ac:dyDescent="0.25">
      <c r="A12" t="s">
        <v>27</v>
      </c>
      <c r="B12">
        <v>1869.6110000000001</v>
      </c>
      <c r="C12">
        <v>702.495</v>
      </c>
      <c r="D12">
        <v>12.074999999999999</v>
      </c>
      <c r="E12" t="s">
        <v>210</v>
      </c>
      <c r="F12">
        <v>2</v>
      </c>
      <c r="H12" s="47"/>
      <c r="I12" s="47"/>
      <c r="J12" s="47"/>
      <c r="K12" s="47"/>
      <c r="L12" s="47"/>
      <c r="M12" s="47"/>
    </row>
    <row r="13" spans="1:20 13955:13960" x14ac:dyDescent="0.25">
      <c r="A13" t="s">
        <v>28</v>
      </c>
      <c r="B13">
        <v>1869.473</v>
      </c>
      <c r="C13">
        <v>702.36</v>
      </c>
      <c r="D13">
        <v>12.19</v>
      </c>
      <c r="E13" t="s">
        <v>211</v>
      </c>
      <c r="F13">
        <v>2</v>
      </c>
      <c r="H13" s="47"/>
      <c r="I13" s="47"/>
      <c r="J13" s="47"/>
      <c r="K13" s="47"/>
      <c r="L13" s="47"/>
      <c r="M13" s="47"/>
    </row>
    <row r="14" spans="1:20 13955:13960" x14ac:dyDescent="0.25">
      <c r="A14" t="s">
        <v>29</v>
      </c>
      <c r="B14">
        <v>1869.472</v>
      </c>
      <c r="C14">
        <v>702.077</v>
      </c>
      <c r="D14">
        <v>12.192</v>
      </c>
      <c r="E14" t="s">
        <v>211</v>
      </c>
      <c r="F14">
        <v>2</v>
      </c>
      <c r="H14" s="47"/>
      <c r="I14" s="47"/>
      <c r="J14" s="47"/>
      <c r="K14" s="47"/>
      <c r="L14" s="47"/>
      <c r="M14" s="47"/>
    </row>
    <row r="15" spans="1:20 13955:13960" x14ac:dyDescent="0.25">
      <c r="A15" t="s">
        <v>30</v>
      </c>
      <c r="B15">
        <v>1869.192</v>
      </c>
      <c r="C15">
        <v>702.08199999999999</v>
      </c>
      <c r="D15">
        <v>12.19</v>
      </c>
      <c r="E15" t="s">
        <v>211</v>
      </c>
      <c r="F15">
        <v>2</v>
      </c>
      <c r="H15" s="47"/>
      <c r="I15" s="47"/>
      <c r="J15" s="47"/>
      <c r="K15" s="47"/>
      <c r="L15" s="47"/>
      <c r="M15" s="47"/>
    </row>
    <row r="16" spans="1:20 13955:13960" x14ac:dyDescent="0.25">
      <c r="A16" t="s">
        <v>31</v>
      </c>
      <c r="B16">
        <v>1869.194</v>
      </c>
      <c r="C16">
        <v>702.36099999999999</v>
      </c>
      <c r="D16">
        <v>12.188000000000001</v>
      </c>
      <c r="E16" t="s">
        <v>211</v>
      </c>
      <c r="F16">
        <v>2</v>
      </c>
      <c r="H16" s="47"/>
      <c r="I16" s="47"/>
      <c r="J16" s="47"/>
      <c r="K16" s="47"/>
      <c r="L16" s="47"/>
      <c r="M16" s="47"/>
    </row>
    <row r="17" spans="1:13" x14ac:dyDescent="0.25">
      <c r="A17" t="s">
        <v>32</v>
      </c>
      <c r="B17">
        <v>1869.605</v>
      </c>
      <c r="C17">
        <v>706.07500000000005</v>
      </c>
      <c r="D17">
        <v>12.079000000000001</v>
      </c>
      <c r="E17" t="s">
        <v>210</v>
      </c>
      <c r="F17">
        <v>3</v>
      </c>
      <c r="H17" s="47"/>
      <c r="I17" s="47"/>
      <c r="J17" s="47"/>
      <c r="K17" s="47"/>
      <c r="L17" s="47"/>
      <c r="M17" s="47"/>
    </row>
    <row r="18" spans="1:13" x14ac:dyDescent="0.25">
      <c r="A18" t="s">
        <v>33</v>
      </c>
      <c r="B18">
        <v>1869.058</v>
      </c>
      <c r="C18">
        <v>706.07</v>
      </c>
      <c r="D18">
        <v>12.076000000000001</v>
      </c>
      <c r="E18" t="s">
        <v>210</v>
      </c>
      <c r="F18">
        <v>3</v>
      </c>
      <c r="H18" s="47"/>
      <c r="I18" s="47"/>
      <c r="J18" s="47"/>
      <c r="K18" s="47"/>
      <c r="L18" s="47"/>
      <c r="M18" s="47"/>
    </row>
    <row r="19" spans="1:13" x14ac:dyDescent="0.25">
      <c r="A19" t="s">
        <v>34</v>
      </c>
      <c r="B19">
        <v>1869.0550000000001</v>
      </c>
      <c r="C19">
        <v>706.61900000000003</v>
      </c>
      <c r="D19">
        <v>12.074</v>
      </c>
      <c r="E19" t="s">
        <v>210</v>
      </c>
      <c r="F19">
        <v>3</v>
      </c>
      <c r="H19" s="47"/>
      <c r="I19" s="47"/>
      <c r="J19" s="47"/>
      <c r="K19" s="47"/>
      <c r="L19" s="47"/>
      <c r="M19" s="47"/>
    </row>
    <row r="20" spans="1:13" x14ac:dyDescent="0.25">
      <c r="A20" t="s">
        <v>35</v>
      </c>
      <c r="B20">
        <v>1869.6020000000001</v>
      </c>
      <c r="C20">
        <v>706.62</v>
      </c>
      <c r="D20">
        <v>12.077</v>
      </c>
      <c r="E20" t="s">
        <v>210</v>
      </c>
      <c r="F20">
        <v>3</v>
      </c>
      <c r="H20" s="47"/>
      <c r="I20" s="47"/>
      <c r="J20" s="47"/>
      <c r="K20" s="47"/>
      <c r="L20" s="47"/>
      <c r="M20" s="47"/>
    </row>
    <row r="21" spans="1:13" x14ac:dyDescent="0.25">
      <c r="A21" t="s">
        <v>36</v>
      </c>
      <c r="B21">
        <v>1869.4739999999999</v>
      </c>
      <c r="C21">
        <v>706.49099999999999</v>
      </c>
      <c r="D21">
        <v>12.191000000000001</v>
      </c>
      <c r="E21" t="s">
        <v>211</v>
      </c>
      <c r="F21">
        <v>3</v>
      </c>
      <c r="H21" s="47"/>
      <c r="I21" s="47"/>
      <c r="J21" s="47"/>
      <c r="K21" s="47"/>
      <c r="L21" s="47"/>
      <c r="M21" s="47"/>
    </row>
    <row r="22" spans="1:13" x14ac:dyDescent="0.25">
      <c r="A22" t="s">
        <v>37</v>
      </c>
      <c r="B22">
        <v>1869.47</v>
      </c>
      <c r="C22">
        <v>706.20899999999995</v>
      </c>
      <c r="D22">
        <v>12.188000000000001</v>
      </c>
      <c r="E22" t="s">
        <v>211</v>
      </c>
      <c r="F22">
        <v>3</v>
      </c>
      <c r="H22" s="47"/>
      <c r="I22" s="47"/>
      <c r="J22" s="47"/>
      <c r="K22" s="47"/>
      <c r="L22" s="47"/>
      <c r="M22" s="47"/>
    </row>
    <row r="23" spans="1:13" x14ac:dyDescent="0.25">
      <c r="A23" t="s">
        <v>38</v>
      </c>
      <c r="B23">
        <v>1869.19</v>
      </c>
      <c r="C23">
        <v>706.20799999999997</v>
      </c>
      <c r="D23">
        <v>12.19</v>
      </c>
      <c r="E23" t="s">
        <v>211</v>
      </c>
      <c r="F23">
        <v>3</v>
      </c>
      <c r="H23" s="47"/>
      <c r="I23" s="47"/>
      <c r="J23" s="47"/>
      <c r="K23" s="47"/>
      <c r="L23" s="47"/>
      <c r="M23" s="47"/>
    </row>
    <row r="24" spans="1:13" x14ac:dyDescent="0.25">
      <c r="A24" t="s">
        <v>39</v>
      </c>
      <c r="B24">
        <v>1869.1869999999999</v>
      </c>
      <c r="C24">
        <v>706.48500000000001</v>
      </c>
      <c r="D24">
        <v>12.191000000000001</v>
      </c>
      <c r="E24" t="s">
        <v>211</v>
      </c>
      <c r="F24">
        <v>3</v>
      </c>
    </row>
    <row r="25" spans="1:13" x14ac:dyDescent="0.25">
      <c r="A25" t="s">
        <v>40</v>
      </c>
      <c r="B25">
        <v>1868.6289999999999</v>
      </c>
      <c r="C25">
        <v>706.899</v>
      </c>
      <c r="D25">
        <v>12.705</v>
      </c>
      <c r="E25" t="s">
        <v>210</v>
      </c>
      <c r="F25">
        <v>4</v>
      </c>
    </row>
    <row r="26" spans="1:13" x14ac:dyDescent="0.25">
      <c r="A26" t="s">
        <v>41</v>
      </c>
      <c r="B26">
        <v>1868.624</v>
      </c>
      <c r="C26">
        <v>706.50699999999995</v>
      </c>
      <c r="D26">
        <v>12.704000000000001</v>
      </c>
      <c r="E26" t="s">
        <v>210</v>
      </c>
      <c r="F26">
        <v>4</v>
      </c>
    </row>
    <row r="27" spans="1:13" x14ac:dyDescent="0.25">
      <c r="A27" t="s">
        <v>42</v>
      </c>
      <c r="B27">
        <v>1868.567</v>
      </c>
      <c r="C27">
        <v>706.46500000000003</v>
      </c>
      <c r="D27">
        <v>12.704000000000001</v>
      </c>
      <c r="E27" t="s">
        <v>210</v>
      </c>
      <c r="F27">
        <v>4</v>
      </c>
    </row>
    <row r="28" spans="1:13" x14ac:dyDescent="0.25">
      <c r="A28" t="s">
        <v>43</v>
      </c>
      <c r="B28">
        <v>1868.0119999999999</v>
      </c>
      <c r="C28">
        <v>706.46699999999998</v>
      </c>
      <c r="D28">
        <v>12.702</v>
      </c>
      <c r="E28" t="s">
        <v>210</v>
      </c>
      <c r="F28">
        <v>4</v>
      </c>
    </row>
    <row r="29" spans="1:13" x14ac:dyDescent="0.25">
      <c r="A29" t="s">
        <v>44</v>
      </c>
      <c r="B29">
        <v>1867.9259999999999</v>
      </c>
      <c r="C29">
        <v>706.53</v>
      </c>
      <c r="D29">
        <v>12.704000000000001</v>
      </c>
      <c r="E29" t="s">
        <v>210</v>
      </c>
      <c r="F29">
        <v>4</v>
      </c>
    </row>
    <row r="30" spans="1:13" x14ac:dyDescent="0.25">
      <c r="A30" t="s">
        <v>45</v>
      </c>
      <c r="B30">
        <v>1867.925</v>
      </c>
      <c r="C30">
        <v>706.90800000000002</v>
      </c>
      <c r="D30">
        <v>12.704000000000001</v>
      </c>
      <c r="E30" t="s">
        <v>210</v>
      </c>
      <c r="F30">
        <v>4</v>
      </c>
    </row>
    <row r="31" spans="1:13" x14ac:dyDescent="0.25">
      <c r="A31" t="s">
        <v>46</v>
      </c>
      <c r="B31">
        <v>1867.9849999999999</v>
      </c>
      <c r="C31">
        <v>706.95899999999995</v>
      </c>
      <c r="D31">
        <v>12.702999999999999</v>
      </c>
      <c r="E31" t="s">
        <v>210</v>
      </c>
      <c r="F31">
        <v>4</v>
      </c>
    </row>
    <row r="32" spans="1:13" x14ac:dyDescent="0.25">
      <c r="A32" t="s">
        <v>47</v>
      </c>
      <c r="B32">
        <v>1868.5519999999999</v>
      </c>
      <c r="C32">
        <v>706.95799999999997</v>
      </c>
      <c r="D32">
        <v>12.704000000000001</v>
      </c>
      <c r="E32" t="s">
        <v>210</v>
      </c>
      <c r="F32">
        <v>4</v>
      </c>
    </row>
    <row r="33" spans="1:6" x14ac:dyDescent="0.25">
      <c r="A33" t="s">
        <v>48</v>
      </c>
      <c r="B33">
        <v>1868.579</v>
      </c>
      <c r="C33">
        <v>706.91600000000005</v>
      </c>
      <c r="D33">
        <v>12.071999999999999</v>
      </c>
      <c r="E33" t="s">
        <v>212</v>
      </c>
      <c r="F33">
        <v>4</v>
      </c>
    </row>
    <row r="34" spans="1:6" x14ac:dyDescent="0.25">
      <c r="A34" t="s">
        <v>49</v>
      </c>
      <c r="B34">
        <v>1868.5650000000001</v>
      </c>
      <c r="C34">
        <v>706.50199999999995</v>
      </c>
      <c r="D34">
        <v>12.071999999999999</v>
      </c>
      <c r="E34" t="s">
        <v>212</v>
      </c>
      <c r="F34">
        <v>4</v>
      </c>
    </row>
    <row r="35" spans="1:6" x14ac:dyDescent="0.25">
      <c r="A35" t="s">
        <v>51</v>
      </c>
      <c r="B35">
        <v>1867.9770000000001</v>
      </c>
      <c r="C35">
        <v>706.51499999999999</v>
      </c>
      <c r="D35">
        <v>12.071</v>
      </c>
      <c r="E35" t="s">
        <v>212</v>
      </c>
      <c r="F35">
        <v>4</v>
      </c>
    </row>
    <row r="36" spans="1:6" x14ac:dyDescent="0.25">
      <c r="A36" t="s">
        <v>52</v>
      </c>
      <c r="B36">
        <v>1867.9770000000001</v>
      </c>
      <c r="C36">
        <v>706.92100000000005</v>
      </c>
      <c r="D36">
        <v>12.071</v>
      </c>
      <c r="E36" t="s">
        <v>212</v>
      </c>
      <c r="F36">
        <v>4</v>
      </c>
    </row>
    <row r="37" spans="1:6" x14ac:dyDescent="0.25">
      <c r="A37" t="s">
        <v>53</v>
      </c>
      <c r="B37">
        <v>1871.2439999999999</v>
      </c>
      <c r="C37">
        <v>707.53200000000004</v>
      </c>
      <c r="D37">
        <v>12.087999999999999</v>
      </c>
      <c r="E37" t="s">
        <v>210</v>
      </c>
      <c r="F37">
        <v>5</v>
      </c>
    </row>
    <row r="38" spans="1:6" x14ac:dyDescent="0.25">
      <c r="A38" t="s">
        <v>54</v>
      </c>
      <c r="B38">
        <v>1871.1859999999999</v>
      </c>
      <c r="C38">
        <v>707.48900000000003</v>
      </c>
      <c r="D38">
        <v>12.086</v>
      </c>
      <c r="E38" t="s">
        <v>210</v>
      </c>
      <c r="F38">
        <v>5</v>
      </c>
    </row>
    <row r="39" spans="1:6" x14ac:dyDescent="0.25">
      <c r="A39" t="s">
        <v>55</v>
      </c>
      <c r="B39">
        <v>1870.89</v>
      </c>
      <c r="C39">
        <v>707.48800000000006</v>
      </c>
      <c r="D39">
        <v>12.086</v>
      </c>
      <c r="E39" t="s">
        <v>210</v>
      </c>
      <c r="F39">
        <v>5</v>
      </c>
    </row>
    <row r="40" spans="1:6" x14ac:dyDescent="0.25">
      <c r="A40" t="s">
        <v>56</v>
      </c>
      <c r="B40">
        <v>1870.8510000000001</v>
      </c>
      <c r="C40">
        <v>707.56200000000001</v>
      </c>
      <c r="D40">
        <v>12.085000000000001</v>
      </c>
      <c r="E40" t="s">
        <v>210</v>
      </c>
      <c r="F40">
        <v>5</v>
      </c>
    </row>
    <row r="41" spans="1:6" x14ac:dyDescent="0.25">
      <c r="A41" t="s">
        <v>57</v>
      </c>
      <c r="B41">
        <v>1870.8520000000001</v>
      </c>
      <c r="C41">
        <v>707.84100000000001</v>
      </c>
      <c r="D41">
        <v>12.087</v>
      </c>
      <c r="E41" t="s">
        <v>210</v>
      </c>
      <c r="F41">
        <v>5</v>
      </c>
    </row>
    <row r="42" spans="1:6" x14ac:dyDescent="0.25">
      <c r="A42" t="s">
        <v>58</v>
      </c>
      <c r="B42">
        <v>1870.9169999999999</v>
      </c>
      <c r="C42">
        <v>707.88599999999997</v>
      </c>
      <c r="D42">
        <v>12.086</v>
      </c>
      <c r="E42" t="s">
        <v>210</v>
      </c>
      <c r="F42">
        <v>5</v>
      </c>
    </row>
    <row r="43" spans="1:6" x14ac:dyDescent="0.25">
      <c r="A43" t="s">
        <v>59</v>
      </c>
      <c r="B43">
        <v>1871.212</v>
      </c>
      <c r="C43">
        <v>707.88199999999995</v>
      </c>
      <c r="D43">
        <v>12.084</v>
      </c>
      <c r="E43" t="s">
        <v>210</v>
      </c>
      <c r="F43">
        <v>5</v>
      </c>
    </row>
    <row r="44" spans="1:6" x14ac:dyDescent="0.25">
      <c r="A44" t="s">
        <v>60</v>
      </c>
      <c r="B44">
        <v>1871.248</v>
      </c>
      <c r="C44">
        <v>707.84400000000005</v>
      </c>
      <c r="D44">
        <v>12.084</v>
      </c>
      <c r="E44" t="s">
        <v>210</v>
      </c>
      <c r="F44">
        <v>5</v>
      </c>
    </row>
    <row r="45" spans="1:6" x14ac:dyDescent="0.25">
      <c r="A45" t="s">
        <v>61</v>
      </c>
      <c r="B45">
        <v>1870.8889999999999</v>
      </c>
      <c r="C45">
        <v>707.53800000000001</v>
      </c>
      <c r="D45">
        <v>12.102</v>
      </c>
      <c r="E45" t="s">
        <v>212</v>
      </c>
      <c r="F45">
        <v>5</v>
      </c>
    </row>
    <row r="46" spans="1:6" x14ac:dyDescent="0.25">
      <c r="A46" t="s">
        <v>62</v>
      </c>
      <c r="B46">
        <v>1870.8910000000001</v>
      </c>
      <c r="C46">
        <v>707.86</v>
      </c>
      <c r="D46">
        <v>12.103</v>
      </c>
      <c r="E46" t="s">
        <v>212</v>
      </c>
      <c r="F46">
        <v>5</v>
      </c>
    </row>
    <row r="47" spans="1:6" x14ac:dyDescent="0.25">
      <c r="A47" t="s">
        <v>63</v>
      </c>
      <c r="B47">
        <v>1871.212</v>
      </c>
      <c r="C47">
        <v>707.85400000000004</v>
      </c>
      <c r="D47">
        <v>12.1</v>
      </c>
      <c r="E47" t="s">
        <v>212</v>
      </c>
      <c r="F47">
        <v>5</v>
      </c>
    </row>
    <row r="48" spans="1:6" x14ac:dyDescent="0.25">
      <c r="A48" t="s">
        <v>64</v>
      </c>
      <c r="B48">
        <v>1871.1969999999999</v>
      </c>
      <c r="C48">
        <v>707.52099999999996</v>
      </c>
      <c r="D48">
        <v>12.101000000000001</v>
      </c>
      <c r="E48" t="s">
        <v>212</v>
      </c>
      <c r="F48">
        <v>5</v>
      </c>
    </row>
    <row r="49" spans="1:6" x14ac:dyDescent="0.25">
      <c r="A49" t="s">
        <v>65</v>
      </c>
      <c r="B49">
        <v>1871.796</v>
      </c>
      <c r="C49">
        <v>708.226</v>
      </c>
      <c r="D49">
        <v>12.048999999999999</v>
      </c>
      <c r="E49" t="s">
        <v>210</v>
      </c>
      <c r="F49">
        <v>6</v>
      </c>
    </row>
    <row r="50" spans="1:6" x14ac:dyDescent="0.25">
      <c r="A50" t="s">
        <v>66</v>
      </c>
      <c r="B50">
        <v>1871.769</v>
      </c>
      <c r="C50">
        <v>708.29100000000005</v>
      </c>
      <c r="D50">
        <v>12.048999999999999</v>
      </c>
      <c r="E50" t="s">
        <v>210</v>
      </c>
      <c r="F50">
        <v>6</v>
      </c>
    </row>
    <row r="51" spans="1:6" x14ac:dyDescent="0.25">
      <c r="A51" t="s">
        <v>67</v>
      </c>
      <c r="B51">
        <v>1871.768</v>
      </c>
      <c r="C51">
        <v>708.55799999999999</v>
      </c>
      <c r="D51">
        <v>12.053000000000001</v>
      </c>
      <c r="E51" t="s">
        <v>210</v>
      </c>
      <c r="F51">
        <v>6</v>
      </c>
    </row>
    <row r="52" spans="1:6" x14ac:dyDescent="0.25">
      <c r="A52" t="s">
        <v>68</v>
      </c>
      <c r="B52">
        <v>1871.847</v>
      </c>
      <c r="C52">
        <v>708.63599999999997</v>
      </c>
      <c r="D52">
        <v>12.045999999999999</v>
      </c>
      <c r="E52" t="s">
        <v>210</v>
      </c>
      <c r="F52">
        <v>6</v>
      </c>
    </row>
    <row r="53" spans="1:6" x14ac:dyDescent="0.25">
      <c r="A53" t="s">
        <v>69</v>
      </c>
      <c r="B53">
        <v>1872.1120000000001</v>
      </c>
      <c r="C53">
        <v>708.63499999999999</v>
      </c>
      <c r="D53">
        <v>12.048</v>
      </c>
      <c r="E53" t="s">
        <v>210</v>
      </c>
      <c r="F53">
        <v>6</v>
      </c>
    </row>
    <row r="54" spans="1:6" x14ac:dyDescent="0.25">
      <c r="A54" t="s">
        <v>70</v>
      </c>
      <c r="B54">
        <v>1872.1669999999999</v>
      </c>
      <c r="C54">
        <v>708.59500000000003</v>
      </c>
      <c r="D54">
        <v>12.048</v>
      </c>
      <c r="E54" t="s">
        <v>210</v>
      </c>
      <c r="F54">
        <v>6</v>
      </c>
    </row>
    <row r="55" spans="1:6" x14ac:dyDescent="0.25">
      <c r="A55" t="s">
        <v>71</v>
      </c>
      <c r="B55">
        <v>1872.1690000000001</v>
      </c>
      <c r="C55">
        <v>708.28700000000003</v>
      </c>
      <c r="D55">
        <v>12.051</v>
      </c>
      <c r="E55" t="s">
        <v>210</v>
      </c>
      <c r="F55">
        <v>6</v>
      </c>
    </row>
    <row r="56" spans="1:6" x14ac:dyDescent="0.25">
      <c r="A56" t="s">
        <v>72</v>
      </c>
      <c r="B56">
        <v>1872.14</v>
      </c>
      <c r="C56">
        <v>708.23500000000001</v>
      </c>
      <c r="D56">
        <v>12.047000000000001</v>
      </c>
      <c r="E56" t="s">
        <v>210</v>
      </c>
      <c r="F56">
        <v>6</v>
      </c>
    </row>
    <row r="57" spans="1:6" x14ac:dyDescent="0.25">
      <c r="A57" t="s">
        <v>73</v>
      </c>
      <c r="B57">
        <v>1872.1110000000001</v>
      </c>
      <c r="C57">
        <v>708.26</v>
      </c>
      <c r="D57">
        <v>12.073</v>
      </c>
      <c r="E57" t="s">
        <v>212</v>
      </c>
      <c r="F57">
        <v>6</v>
      </c>
    </row>
    <row r="58" spans="1:6" x14ac:dyDescent="0.25">
      <c r="A58" t="s">
        <v>74</v>
      </c>
      <c r="B58">
        <v>1871.8140000000001</v>
      </c>
      <c r="C58">
        <v>708.27800000000002</v>
      </c>
      <c r="D58">
        <v>12.073</v>
      </c>
      <c r="E58" t="s">
        <v>212</v>
      </c>
      <c r="F58">
        <v>6</v>
      </c>
    </row>
    <row r="59" spans="1:6" x14ac:dyDescent="0.25">
      <c r="A59" t="s">
        <v>75</v>
      </c>
      <c r="B59">
        <v>1871.818</v>
      </c>
      <c r="C59">
        <v>708.59699999999998</v>
      </c>
      <c r="D59">
        <v>12.074</v>
      </c>
      <c r="E59" t="s">
        <v>212</v>
      </c>
      <c r="F59">
        <v>6</v>
      </c>
    </row>
    <row r="60" spans="1:6" x14ac:dyDescent="0.25">
      <c r="A60" t="s">
        <v>76</v>
      </c>
      <c r="B60">
        <v>1872.1010000000001</v>
      </c>
      <c r="C60">
        <v>708.57500000000005</v>
      </c>
      <c r="D60">
        <v>12.071</v>
      </c>
      <c r="E60" t="s">
        <v>212</v>
      </c>
      <c r="F60">
        <v>6</v>
      </c>
    </row>
    <row r="61" spans="1:6" x14ac:dyDescent="0.25">
      <c r="A61" t="s">
        <v>77</v>
      </c>
      <c r="B61">
        <v>1859.057</v>
      </c>
      <c r="C61">
        <v>708.58699999999999</v>
      </c>
      <c r="D61">
        <v>12.115</v>
      </c>
      <c r="E61" t="s">
        <v>210</v>
      </c>
      <c r="F61">
        <v>7</v>
      </c>
    </row>
    <row r="62" spans="1:6" x14ac:dyDescent="0.25">
      <c r="A62" t="s">
        <v>78</v>
      </c>
      <c r="B62">
        <v>1859.009</v>
      </c>
      <c r="C62">
        <v>708.64099999999996</v>
      </c>
      <c r="D62">
        <v>12.117000000000001</v>
      </c>
      <c r="E62" t="s">
        <v>210</v>
      </c>
      <c r="F62">
        <v>7</v>
      </c>
    </row>
    <row r="63" spans="1:6" x14ac:dyDescent="0.25">
      <c r="A63" t="s">
        <v>79</v>
      </c>
      <c r="B63">
        <v>1859.0070000000001</v>
      </c>
      <c r="C63">
        <v>708.88</v>
      </c>
      <c r="D63">
        <v>12.115</v>
      </c>
      <c r="E63" t="s">
        <v>210</v>
      </c>
      <c r="F63">
        <v>7</v>
      </c>
    </row>
    <row r="64" spans="1:6" x14ac:dyDescent="0.25">
      <c r="A64" t="s">
        <v>80</v>
      </c>
      <c r="B64">
        <v>1859.0360000000001</v>
      </c>
      <c r="C64">
        <v>708.98599999999999</v>
      </c>
      <c r="D64">
        <v>12.115</v>
      </c>
      <c r="E64" t="s">
        <v>210</v>
      </c>
      <c r="F64">
        <v>7</v>
      </c>
    </row>
    <row r="65" spans="1:6" x14ac:dyDescent="0.25">
      <c r="A65" t="s">
        <v>81</v>
      </c>
      <c r="B65">
        <v>1859.36</v>
      </c>
      <c r="C65">
        <v>708.98699999999997</v>
      </c>
      <c r="D65">
        <v>12.117000000000001</v>
      </c>
      <c r="E65" t="s">
        <v>210</v>
      </c>
      <c r="F65">
        <v>7</v>
      </c>
    </row>
    <row r="66" spans="1:6" x14ac:dyDescent="0.25">
      <c r="A66" t="s">
        <v>82</v>
      </c>
      <c r="B66">
        <v>1859.4069999999999</v>
      </c>
      <c r="C66">
        <v>708.92899999999997</v>
      </c>
      <c r="D66">
        <v>12.118</v>
      </c>
      <c r="E66" t="s">
        <v>210</v>
      </c>
      <c r="F66">
        <v>7</v>
      </c>
    </row>
    <row r="67" spans="1:6" x14ac:dyDescent="0.25">
      <c r="A67" t="s">
        <v>83</v>
      </c>
      <c r="B67">
        <v>1859.4079999999999</v>
      </c>
      <c r="C67">
        <v>708.64499999999998</v>
      </c>
      <c r="D67">
        <v>12.113</v>
      </c>
      <c r="E67" t="s">
        <v>210</v>
      </c>
      <c r="F67">
        <v>7</v>
      </c>
    </row>
    <row r="68" spans="1:6" x14ac:dyDescent="0.25">
      <c r="A68" t="s">
        <v>84</v>
      </c>
      <c r="B68">
        <v>1859.386</v>
      </c>
      <c r="C68">
        <v>708.58699999999999</v>
      </c>
      <c r="D68">
        <v>12.111000000000001</v>
      </c>
      <c r="E68" t="s">
        <v>210</v>
      </c>
      <c r="F68">
        <v>7</v>
      </c>
    </row>
    <row r="69" spans="1:6" x14ac:dyDescent="0.25">
      <c r="A69" t="s">
        <v>85</v>
      </c>
      <c r="B69">
        <v>1859.375</v>
      </c>
      <c r="C69">
        <v>708.62</v>
      </c>
      <c r="D69">
        <v>12.134</v>
      </c>
      <c r="E69" t="s">
        <v>212</v>
      </c>
      <c r="F69">
        <v>7</v>
      </c>
    </row>
    <row r="70" spans="1:6" x14ac:dyDescent="0.25">
      <c r="A70" t="s">
        <v>86</v>
      </c>
      <c r="B70">
        <v>1859.0509999999999</v>
      </c>
      <c r="C70">
        <v>708.61599999999999</v>
      </c>
      <c r="D70">
        <v>12.134</v>
      </c>
      <c r="E70" t="s">
        <v>212</v>
      </c>
      <c r="F70">
        <v>7</v>
      </c>
    </row>
    <row r="71" spans="1:6" x14ac:dyDescent="0.25">
      <c r="A71" t="s">
        <v>87</v>
      </c>
      <c r="B71">
        <v>1859.0519999999999</v>
      </c>
      <c r="C71">
        <v>708.91300000000001</v>
      </c>
      <c r="D71">
        <v>12.132999999999999</v>
      </c>
      <c r="E71" t="s">
        <v>212</v>
      </c>
      <c r="F71">
        <v>7</v>
      </c>
    </row>
    <row r="72" spans="1:6" x14ac:dyDescent="0.25">
      <c r="A72" t="s">
        <v>88</v>
      </c>
      <c r="B72">
        <v>1859.365</v>
      </c>
      <c r="C72">
        <v>708.94500000000005</v>
      </c>
      <c r="D72">
        <v>12.132999999999999</v>
      </c>
      <c r="E72" t="s">
        <v>212</v>
      </c>
      <c r="F72">
        <v>7</v>
      </c>
    </row>
    <row r="73" spans="1:6" x14ac:dyDescent="0.25">
      <c r="A73" t="s">
        <v>89</v>
      </c>
      <c r="B73">
        <v>1865.18</v>
      </c>
      <c r="C73">
        <v>701.94600000000003</v>
      </c>
      <c r="D73">
        <v>12.073</v>
      </c>
      <c r="E73" t="s">
        <v>210</v>
      </c>
      <c r="F73">
        <v>8</v>
      </c>
    </row>
    <row r="74" spans="1:6" x14ac:dyDescent="0.25">
      <c r="A74" t="s">
        <v>90</v>
      </c>
      <c r="B74">
        <v>1864.633</v>
      </c>
      <c r="C74">
        <v>701.94899999999996</v>
      </c>
      <c r="D74">
        <v>12.074</v>
      </c>
      <c r="E74" t="s">
        <v>210</v>
      </c>
      <c r="F74">
        <v>8</v>
      </c>
    </row>
    <row r="75" spans="1:6" x14ac:dyDescent="0.25">
      <c r="A75" t="s">
        <v>91</v>
      </c>
      <c r="B75">
        <v>1864.6310000000001</v>
      </c>
      <c r="C75">
        <v>702.49300000000005</v>
      </c>
      <c r="D75">
        <v>12.074999999999999</v>
      </c>
      <c r="E75" t="s">
        <v>210</v>
      </c>
      <c r="F75">
        <v>8</v>
      </c>
    </row>
    <row r="76" spans="1:6" x14ac:dyDescent="0.25">
      <c r="A76" t="s">
        <v>92</v>
      </c>
      <c r="B76">
        <v>1865.1849999999999</v>
      </c>
      <c r="C76">
        <v>702.48900000000003</v>
      </c>
      <c r="D76">
        <v>12.074</v>
      </c>
      <c r="E76" t="s">
        <v>210</v>
      </c>
      <c r="F76">
        <v>8</v>
      </c>
    </row>
    <row r="77" spans="1:6" x14ac:dyDescent="0.25">
      <c r="A77" t="s">
        <v>93</v>
      </c>
      <c r="B77">
        <v>1865.0450000000001</v>
      </c>
      <c r="C77">
        <v>702.36099999999999</v>
      </c>
      <c r="D77">
        <v>12.183999999999999</v>
      </c>
      <c r="E77" t="s">
        <v>211</v>
      </c>
      <c r="F77">
        <v>8</v>
      </c>
    </row>
    <row r="78" spans="1:6" x14ac:dyDescent="0.25">
      <c r="A78" t="s">
        <v>94</v>
      </c>
      <c r="B78">
        <v>1865.05</v>
      </c>
      <c r="C78">
        <v>702.07799999999997</v>
      </c>
      <c r="D78">
        <v>12.185</v>
      </c>
      <c r="E78" t="s">
        <v>211</v>
      </c>
      <c r="F78">
        <v>8</v>
      </c>
    </row>
    <row r="79" spans="1:6" x14ac:dyDescent="0.25">
      <c r="A79" t="s">
        <v>95</v>
      </c>
      <c r="B79">
        <v>1864.7670000000001</v>
      </c>
      <c r="C79">
        <v>702.07799999999997</v>
      </c>
      <c r="D79">
        <v>12.186</v>
      </c>
      <c r="E79" t="s">
        <v>211</v>
      </c>
      <c r="F79">
        <v>8</v>
      </c>
    </row>
    <row r="80" spans="1:6" x14ac:dyDescent="0.25">
      <c r="A80" t="s">
        <v>96</v>
      </c>
      <c r="B80">
        <v>1864.7750000000001</v>
      </c>
      <c r="C80">
        <v>702.36199999999997</v>
      </c>
      <c r="D80">
        <v>12.188000000000001</v>
      </c>
      <c r="E80" t="s">
        <v>211</v>
      </c>
      <c r="F80">
        <v>8</v>
      </c>
    </row>
    <row r="81" spans="1:6" x14ac:dyDescent="0.25">
      <c r="A81" t="s">
        <v>97</v>
      </c>
      <c r="B81">
        <v>1857.261</v>
      </c>
      <c r="C81">
        <v>702.78700000000003</v>
      </c>
      <c r="D81">
        <v>11.885999999999999</v>
      </c>
      <c r="E81" t="s">
        <v>210</v>
      </c>
      <c r="F81">
        <v>9</v>
      </c>
    </row>
    <row r="82" spans="1:6" x14ac:dyDescent="0.25">
      <c r="A82" t="s">
        <v>98</v>
      </c>
      <c r="B82">
        <v>1857.2629999999999</v>
      </c>
      <c r="C82">
        <v>703.18899999999996</v>
      </c>
      <c r="D82">
        <v>11.888999999999999</v>
      </c>
      <c r="E82" t="s">
        <v>210</v>
      </c>
      <c r="F82">
        <v>9</v>
      </c>
    </row>
    <row r="83" spans="1:6" x14ac:dyDescent="0.25">
      <c r="A83" t="s">
        <v>99</v>
      </c>
      <c r="B83">
        <v>1857.664</v>
      </c>
      <c r="C83">
        <v>703.17899999999997</v>
      </c>
      <c r="D83">
        <v>11.885999999999999</v>
      </c>
      <c r="E83" t="s">
        <v>210</v>
      </c>
      <c r="F83">
        <v>9</v>
      </c>
    </row>
    <row r="84" spans="1:6" x14ac:dyDescent="0.25">
      <c r="A84" t="s">
        <v>100</v>
      </c>
      <c r="B84">
        <v>1857.663</v>
      </c>
      <c r="C84">
        <v>702.78</v>
      </c>
      <c r="D84">
        <v>11.882999999999999</v>
      </c>
      <c r="E84" t="s">
        <v>210</v>
      </c>
      <c r="F84">
        <v>9</v>
      </c>
    </row>
    <row r="85" spans="1:6" x14ac:dyDescent="0.25">
      <c r="A85" t="s">
        <v>101</v>
      </c>
      <c r="B85">
        <v>1857.625</v>
      </c>
      <c r="C85">
        <v>702.81600000000003</v>
      </c>
      <c r="D85">
        <v>12.032</v>
      </c>
      <c r="E85" t="s">
        <v>212</v>
      </c>
      <c r="F85">
        <v>9</v>
      </c>
    </row>
    <row r="86" spans="1:6" x14ac:dyDescent="0.25">
      <c r="A86" t="s">
        <v>102</v>
      </c>
      <c r="B86">
        <v>1857.299</v>
      </c>
      <c r="C86">
        <v>702.82600000000002</v>
      </c>
      <c r="D86">
        <v>12.031000000000001</v>
      </c>
      <c r="E86" t="s">
        <v>212</v>
      </c>
      <c r="F86">
        <v>9</v>
      </c>
    </row>
    <row r="87" spans="1:6" x14ac:dyDescent="0.25">
      <c r="A87" t="s">
        <v>103</v>
      </c>
      <c r="B87">
        <v>1857.297</v>
      </c>
      <c r="C87">
        <v>703.13300000000004</v>
      </c>
      <c r="D87">
        <v>12.03</v>
      </c>
      <c r="E87" t="s">
        <v>212</v>
      </c>
      <c r="F87">
        <v>9</v>
      </c>
    </row>
    <row r="88" spans="1:6" x14ac:dyDescent="0.25">
      <c r="A88" t="s">
        <v>104</v>
      </c>
      <c r="B88">
        <v>1857.6179999999999</v>
      </c>
      <c r="C88">
        <v>703.14200000000005</v>
      </c>
      <c r="D88">
        <v>12.032</v>
      </c>
      <c r="E88" t="s">
        <v>212</v>
      </c>
      <c r="F88">
        <v>9</v>
      </c>
    </row>
    <row r="89" spans="1:6" x14ac:dyDescent="0.25">
      <c r="A89" t="s">
        <v>105</v>
      </c>
      <c r="B89">
        <v>1864.617</v>
      </c>
      <c r="C89">
        <v>698.47199999999998</v>
      </c>
      <c r="D89">
        <v>12.071</v>
      </c>
      <c r="E89" t="s">
        <v>210</v>
      </c>
      <c r="F89">
        <v>10</v>
      </c>
    </row>
    <row r="90" spans="1:6" x14ac:dyDescent="0.25">
      <c r="A90" t="s">
        <v>106</v>
      </c>
      <c r="B90">
        <v>1865.173</v>
      </c>
      <c r="C90">
        <v>698.47400000000005</v>
      </c>
      <c r="D90">
        <v>12.074</v>
      </c>
      <c r="E90" t="s">
        <v>210</v>
      </c>
      <c r="F90">
        <v>10</v>
      </c>
    </row>
    <row r="91" spans="1:6" x14ac:dyDescent="0.25">
      <c r="A91" t="s">
        <v>107</v>
      </c>
      <c r="B91">
        <v>1865.181</v>
      </c>
      <c r="C91">
        <v>697.92899999999997</v>
      </c>
      <c r="D91">
        <v>12.074</v>
      </c>
      <c r="E91" t="s">
        <v>210</v>
      </c>
      <c r="F91">
        <v>10</v>
      </c>
    </row>
    <row r="92" spans="1:6" x14ac:dyDescent="0.25">
      <c r="A92" t="s">
        <v>108</v>
      </c>
      <c r="B92">
        <v>1864.6289999999999</v>
      </c>
      <c r="C92">
        <v>697.928</v>
      </c>
      <c r="D92">
        <v>12.073</v>
      </c>
      <c r="E92" t="s">
        <v>210</v>
      </c>
      <c r="F92">
        <v>10</v>
      </c>
    </row>
    <row r="93" spans="1:6" x14ac:dyDescent="0.25">
      <c r="A93" t="s">
        <v>109</v>
      </c>
      <c r="B93">
        <v>1865.0530000000001</v>
      </c>
      <c r="C93">
        <v>698.06200000000001</v>
      </c>
      <c r="D93">
        <v>12.186</v>
      </c>
      <c r="E93" t="s">
        <v>211</v>
      </c>
      <c r="F93">
        <v>10</v>
      </c>
    </row>
    <row r="94" spans="1:6" x14ac:dyDescent="0.25">
      <c r="A94" t="s">
        <v>110</v>
      </c>
      <c r="B94">
        <v>1864.7729999999999</v>
      </c>
      <c r="C94">
        <v>698.06600000000003</v>
      </c>
      <c r="D94">
        <v>12.191000000000001</v>
      </c>
      <c r="E94" t="s">
        <v>211</v>
      </c>
      <c r="F94">
        <v>10</v>
      </c>
    </row>
    <row r="95" spans="1:6" x14ac:dyDescent="0.25">
      <c r="A95" t="s">
        <v>111</v>
      </c>
      <c r="B95">
        <v>1864.77</v>
      </c>
      <c r="C95">
        <v>698.34699999999998</v>
      </c>
      <c r="D95">
        <v>12.185</v>
      </c>
      <c r="E95" t="s">
        <v>211</v>
      </c>
      <c r="F95">
        <v>10</v>
      </c>
    </row>
    <row r="96" spans="1:6" x14ac:dyDescent="0.25">
      <c r="A96" t="s">
        <v>112</v>
      </c>
      <c r="B96">
        <v>1865.0540000000001</v>
      </c>
      <c r="C96">
        <v>698.34199999999998</v>
      </c>
      <c r="D96">
        <v>12.185</v>
      </c>
      <c r="E96" t="s">
        <v>211</v>
      </c>
      <c r="F96">
        <v>10</v>
      </c>
    </row>
    <row r="97" spans="1:6" x14ac:dyDescent="0.25">
      <c r="A97" t="s">
        <v>113</v>
      </c>
      <c r="B97">
        <v>1866.6289999999999</v>
      </c>
      <c r="C97">
        <v>697.72299999999996</v>
      </c>
      <c r="D97">
        <v>12.069000000000001</v>
      </c>
      <c r="E97" t="s">
        <v>210</v>
      </c>
      <c r="F97">
        <v>11</v>
      </c>
    </row>
    <row r="98" spans="1:6" x14ac:dyDescent="0.25">
      <c r="A98" t="s">
        <v>114</v>
      </c>
      <c r="B98">
        <v>1866.587</v>
      </c>
      <c r="C98">
        <v>697.678</v>
      </c>
      <c r="D98">
        <v>12.063000000000001</v>
      </c>
      <c r="E98" t="s">
        <v>210</v>
      </c>
      <c r="F98">
        <v>11</v>
      </c>
    </row>
    <row r="99" spans="1:6" x14ac:dyDescent="0.25">
      <c r="A99" t="s">
        <v>115</v>
      </c>
      <c r="B99">
        <v>1866.2760000000001</v>
      </c>
      <c r="C99">
        <v>697.67700000000002</v>
      </c>
      <c r="D99">
        <v>12.066000000000001</v>
      </c>
      <c r="E99" t="s">
        <v>210</v>
      </c>
      <c r="F99">
        <v>11</v>
      </c>
    </row>
    <row r="100" spans="1:6" x14ac:dyDescent="0.25">
      <c r="A100" t="s">
        <v>116</v>
      </c>
      <c r="B100">
        <v>1866.232</v>
      </c>
      <c r="C100">
        <v>697.72400000000005</v>
      </c>
      <c r="D100">
        <v>12.066000000000001</v>
      </c>
      <c r="E100" t="s">
        <v>210</v>
      </c>
      <c r="F100">
        <v>11</v>
      </c>
    </row>
    <row r="101" spans="1:6" x14ac:dyDescent="0.25">
      <c r="A101" t="s">
        <v>117</v>
      </c>
      <c r="B101">
        <v>1866.2249999999999</v>
      </c>
      <c r="C101">
        <v>698.04300000000001</v>
      </c>
      <c r="D101">
        <v>12.065</v>
      </c>
      <c r="E101" t="s">
        <v>210</v>
      </c>
      <c r="F101">
        <v>11</v>
      </c>
    </row>
    <row r="102" spans="1:6" x14ac:dyDescent="0.25">
      <c r="A102" t="s">
        <v>118</v>
      </c>
      <c r="B102">
        <v>1866.2729999999999</v>
      </c>
      <c r="C102">
        <v>698.08100000000002</v>
      </c>
      <c r="D102">
        <v>12.068</v>
      </c>
      <c r="E102" t="s">
        <v>210</v>
      </c>
      <c r="F102">
        <v>11</v>
      </c>
    </row>
    <row r="103" spans="1:6" x14ac:dyDescent="0.25">
      <c r="A103" t="s">
        <v>119</v>
      </c>
      <c r="B103">
        <v>1866.5809999999999</v>
      </c>
      <c r="C103">
        <v>698.08</v>
      </c>
      <c r="D103">
        <v>12.067</v>
      </c>
      <c r="E103" t="s">
        <v>210</v>
      </c>
      <c r="F103">
        <v>11</v>
      </c>
    </row>
    <row r="104" spans="1:6" x14ac:dyDescent="0.25">
      <c r="A104" t="s">
        <v>120</v>
      </c>
      <c r="B104">
        <v>1866.626</v>
      </c>
      <c r="C104">
        <v>698.04200000000003</v>
      </c>
      <c r="D104">
        <v>12.068</v>
      </c>
      <c r="E104" t="s">
        <v>210</v>
      </c>
      <c r="F104">
        <v>11</v>
      </c>
    </row>
    <row r="105" spans="1:6" x14ac:dyDescent="0.25">
      <c r="A105" t="s">
        <v>121</v>
      </c>
      <c r="B105">
        <v>1866.596</v>
      </c>
      <c r="C105">
        <v>698.04600000000005</v>
      </c>
      <c r="D105">
        <v>12.084</v>
      </c>
      <c r="E105" t="s">
        <v>212</v>
      </c>
      <c r="F105">
        <v>11</v>
      </c>
    </row>
    <row r="106" spans="1:6" x14ac:dyDescent="0.25">
      <c r="A106" t="s">
        <v>122</v>
      </c>
      <c r="B106">
        <v>1866.575</v>
      </c>
      <c r="C106">
        <v>697.72799999999995</v>
      </c>
      <c r="D106">
        <v>12.082000000000001</v>
      </c>
      <c r="E106" t="s">
        <v>212</v>
      </c>
      <c r="F106">
        <v>11</v>
      </c>
    </row>
    <row r="107" spans="1:6" x14ac:dyDescent="0.25">
      <c r="A107" t="s">
        <v>123</v>
      </c>
      <c r="B107">
        <v>1866.269</v>
      </c>
      <c r="C107">
        <v>697.71500000000003</v>
      </c>
      <c r="D107">
        <v>12.082000000000001</v>
      </c>
      <c r="E107" t="s">
        <v>212</v>
      </c>
      <c r="F107">
        <v>11</v>
      </c>
    </row>
    <row r="108" spans="1:6" x14ac:dyDescent="0.25">
      <c r="A108" t="s">
        <v>124</v>
      </c>
      <c r="B108">
        <v>1866.26</v>
      </c>
      <c r="C108">
        <v>698.053</v>
      </c>
      <c r="D108">
        <v>12.084</v>
      </c>
      <c r="E108" t="s">
        <v>212</v>
      </c>
      <c r="F108">
        <v>11</v>
      </c>
    </row>
    <row r="109" spans="1:6" x14ac:dyDescent="0.25">
      <c r="A109" t="s">
        <v>125</v>
      </c>
      <c r="B109">
        <v>1866.2850000000001</v>
      </c>
      <c r="C109">
        <v>698.01599999999996</v>
      </c>
      <c r="D109">
        <v>12.1</v>
      </c>
      <c r="E109" t="s">
        <v>213</v>
      </c>
      <c r="F109">
        <v>11</v>
      </c>
    </row>
    <row r="110" spans="1:6" x14ac:dyDescent="0.25">
      <c r="A110" t="s">
        <v>126</v>
      </c>
      <c r="B110">
        <v>1866.5609999999999</v>
      </c>
      <c r="C110">
        <v>698.01599999999996</v>
      </c>
      <c r="D110">
        <v>12.102</v>
      </c>
      <c r="E110" t="s">
        <v>213</v>
      </c>
      <c r="F110">
        <v>11</v>
      </c>
    </row>
    <row r="111" spans="1:6" x14ac:dyDescent="0.25">
      <c r="A111" t="s">
        <v>127</v>
      </c>
      <c r="B111">
        <v>1866.566</v>
      </c>
      <c r="C111">
        <v>697.73900000000003</v>
      </c>
      <c r="D111">
        <v>12.098000000000001</v>
      </c>
      <c r="E111" t="s">
        <v>213</v>
      </c>
      <c r="F111">
        <v>11</v>
      </c>
    </row>
    <row r="112" spans="1:6" x14ac:dyDescent="0.25">
      <c r="A112" t="s">
        <v>128</v>
      </c>
      <c r="B112">
        <v>1866.2850000000001</v>
      </c>
      <c r="C112">
        <v>697.73800000000006</v>
      </c>
      <c r="D112">
        <v>12.097</v>
      </c>
      <c r="E112" t="s">
        <v>213</v>
      </c>
      <c r="F112">
        <v>11</v>
      </c>
    </row>
    <row r="113" spans="1:6" x14ac:dyDescent="0.25">
      <c r="A113" t="s">
        <v>129</v>
      </c>
      <c r="B113">
        <v>1864.675</v>
      </c>
      <c r="C113">
        <v>706.62099999999998</v>
      </c>
      <c r="D113">
        <v>12.076000000000001</v>
      </c>
      <c r="E113" t="s">
        <v>210</v>
      </c>
      <c r="F113">
        <v>12</v>
      </c>
    </row>
    <row r="114" spans="1:6" x14ac:dyDescent="0.25">
      <c r="A114" t="s">
        <v>130</v>
      </c>
      <c r="B114">
        <v>1865.1579999999999</v>
      </c>
      <c r="C114">
        <v>706.62699999999995</v>
      </c>
      <c r="D114">
        <v>12.077</v>
      </c>
      <c r="E114" t="s">
        <v>210</v>
      </c>
      <c r="F114">
        <v>12</v>
      </c>
    </row>
    <row r="115" spans="1:6" x14ac:dyDescent="0.25">
      <c r="A115" t="s">
        <v>131</v>
      </c>
      <c r="B115">
        <v>1865.162</v>
      </c>
      <c r="C115">
        <v>706.07799999999997</v>
      </c>
      <c r="D115">
        <v>12.074</v>
      </c>
      <c r="E115" t="s">
        <v>210</v>
      </c>
      <c r="F115">
        <v>12</v>
      </c>
    </row>
    <row r="116" spans="1:6" x14ac:dyDescent="0.25">
      <c r="A116" t="s">
        <v>132</v>
      </c>
      <c r="B116">
        <v>1864.6759999999999</v>
      </c>
      <c r="C116">
        <v>706.07399999999996</v>
      </c>
      <c r="D116">
        <v>12.074999999999999</v>
      </c>
      <c r="E116" t="s">
        <v>210</v>
      </c>
      <c r="F116">
        <v>12</v>
      </c>
    </row>
    <row r="117" spans="1:6" x14ac:dyDescent="0.25">
      <c r="A117" t="s">
        <v>133</v>
      </c>
      <c r="B117">
        <v>1864.769</v>
      </c>
      <c r="C117">
        <v>706.20799999999997</v>
      </c>
      <c r="D117">
        <v>12.185</v>
      </c>
      <c r="E117" t="s">
        <v>211</v>
      </c>
      <c r="F117">
        <v>12</v>
      </c>
    </row>
    <row r="118" spans="1:6" x14ac:dyDescent="0.25">
      <c r="A118" t="s">
        <v>134</v>
      </c>
      <c r="B118">
        <v>1864.769</v>
      </c>
      <c r="C118">
        <v>706.48900000000003</v>
      </c>
      <c r="D118">
        <v>12.185</v>
      </c>
      <c r="E118" t="s">
        <v>211</v>
      </c>
      <c r="F118">
        <v>12</v>
      </c>
    </row>
    <row r="119" spans="1:6" x14ac:dyDescent="0.25">
      <c r="A119" t="s">
        <v>135</v>
      </c>
      <c r="B119">
        <v>1865.046</v>
      </c>
      <c r="C119">
        <v>706.49199999999996</v>
      </c>
      <c r="D119">
        <v>12.183999999999999</v>
      </c>
      <c r="E119" t="s">
        <v>211</v>
      </c>
      <c r="F119">
        <v>12</v>
      </c>
    </row>
    <row r="120" spans="1:6" x14ac:dyDescent="0.25">
      <c r="A120" t="s">
        <v>136</v>
      </c>
      <c r="B120">
        <v>1865.0440000000001</v>
      </c>
      <c r="C120">
        <v>706.20899999999995</v>
      </c>
      <c r="D120">
        <v>12.185</v>
      </c>
      <c r="E120" t="s">
        <v>211</v>
      </c>
      <c r="F120">
        <v>12</v>
      </c>
    </row>
    <row r="121" spans="1:6" x14ac:dyDescent="0.25">
      <c r="A121" t="s">
        <v>137</v>
      </c>
      <c r="B121">
        <v>1848.1880000000001</v>
      </c>
      <c r="C121">
        <v>697.92100000000005</v>
      </c>
      <c r="D121">
        <v>12.077999999999999</v>
      </c>
      <c r="E121" t="s">
        <v>210</v>
      </c>
      <c r="F121">
        <v>13</v>
      </c>
    </row>
    <row r="122" spans="1:6" x14ac:dyDescent="0.25">
      <c r="A122" t="s">
        <v>138</v>
      </c>
      <c r="B122">
        <v>1847.6369999999999</v>
      </c>
      <c r="C122">
        <v>697.928</v>
      </c>
      <c r="D122">
        <v>12.074</v>
      </c>
      <c r="E122" t="s">
        <v>210</v>
      </c>
      <c r="F122">
        <v>13</v>
      </c>
    </row>
    <row r="123" spans="1:6" x14ac:dyDescent="0.25">
      <c r="A123" t="s">
        <v>139</v>
      </c>
      <c r="B123">
        <v>1847.6289999999999</v>
      </c>
      <c r="C123">
        <v>698.47799999999995</v>
      </c>
      <c r="D123">
        <v>12.074</v>
      </c>
      <c r="E123" t="s">
        <v>210</v>
      </c>
      <c r="F123">
        <v>13</v>
      </c>
    </row>
    <row r="124" spans="1:6" x14ac:dyDescent="0.25">
      <c r="A124" t="s">
        <v>140</v>
      </c>
      <c r="B124">
        <v>1848.1759999999999</v>
      </c>
      <c r="C124">
        <v>698.47400000000005</v>
      </c>
      <c r="D124">
        <v>12.074999999999999</v>
      </c>
      <c r="E124" t="s">
        <v>210</v>
      </c>
      <c r="F124">
        <v>13</v>
      </c>
    </row>
    <row r="125" spans="1:6" x14ac:dyDescent="0.25">
      <c r="A125" t="s">
        <v>141</v>
      </c>
      <c r="B125">
        <v>1847.7719999999999</v>
      </c>
      <c r="C125">
        <v>698.33500000000004</v>
      </c>
      <c r="D125">
        <v>12.19</v>
      </c>
      <c r="E125" t="s">
        <v>211</v>
      </c>
      <c r="F125">
        <v>13</v>
      </c>
    </row>
    <row r="126" spans="1:6" x14ac:dyDescent="0.25">
      <c r="A126" t="s">
        <v>142</v>
      </c>
      <c r="B126">
        <v>1848.0509999999999</v>
      </c>
      <c r="C126">
        <v>698.33600000000001</v>
      </c>
      <c r="D126">
        <v>12.193</v>
      </c>
      <c r="E126" t="s">
        <v>211</v>
      </c>
      <c r="F126">
        <v>13</v>
      </c>
    </row>
    <row r="127" spans="1:6" x14ac:dyDescent="0.25">
      <c r="A127" t="s">
        <v>143</v>
      </c>
      <c r="B127">
        <v>1848.046</v>
      </c>
      <c r="C127">
        <v>698.06</v>
      </c>
      <c r="D127">
        <v>12.189</v>
      </c>
      <c r="E127" t="s">
        <v>211</v>
      </c>
      <c r="F127">
        <v>13</v>
      </c>
    </row>
    <row r="128" spans="1:6" x14ac:dyDescent="0.25">
      <c r="A128" t="s">
        <v>144</v>
      </c>
      <c r="B128">
        <v>1847.7670000000001</v>
      </c>
      <c r="C128">
        <v>698.06</v>
      </c>
      <c r="D128">
        <v>12.192</v>
      </c>
      <c r="E128" t="s">
        <v>211</v>
      </c>
      <c r="F128">
        <v>13</v>
      </c>
    </row>
    <row r="129" spans="1:6" x14ac:dyDescent="0.25">
      <c r="A129" t="s">
        <v>145</v>
      </c>
      <c r="B129">
        <v>1848.184</v>
      </c>
      <c r="C129">
        <v>701.94399999999996</v>
      </c>
      <c r="D129">
        <v>12.074</v>
      </c>
      <c r="E129" t="s">
        <v>210</v>
      </c>
      <c r="F129">
        <v>14</v>
      </c>
    </row>
    <row r="130" spans="1:6" x14ac:dyDescent="0.25">
      <c r="A130" t="s">
        <v>146</v>
      </c>
      <c r="B130">
        <v>1847.634</v>
      </c>
      <c r="C130">
        <v>701.94899999999996</v>
      </c>
      <c r="D130">
        <v>12.074</v>
      </c>
      <c r="E130" t="s">
        <v>210</v>
      </c>
      <c r="F130">
        <v>14</v>
      </c>
    </row>
    <row r="131" spans="1:6" x14ac:dyDescent="0.25">
      <c r="A131" t="s">
        <v>147</v>
      </c>
      <c r="B131">
        <v>1847.6310000000001</v>
      </c>
      <c r="C131">
        <v>702.50099999999998</v>
      </c>
      <c r="D131">
        <v>12.073</v>
      </c>
      <c r="E131" t="s">
        <v>210</v>
      </c>
      <c r="F131">
        <v>14</v>
      </c>
    </row>
    <row r="132" spans="1:6" x14ac:dyDescent="0.25">
      <c r="A132" t="s">
        <v>148</v>
      </c>
      <c r="B132">
        <v>1848.183</v>
      </c>
      <c r="C132">
        <v>702.49599999999998</v>
      </c>
      <c r="D132">
        <v>12.076000000000001</v>
      </c>
      <c r="E132" t="s">
        <v>210</v>
      </c>
      <c r="F132">
        <v>14</v>
      </c>
    </row>
    <row r="133" spans="1:6" x14ac:dyDescent="0.25">
      <c r="A133" t="s">
        <v>149</v>
      </c>
      <c r="B133">
        <v>1847.771</v>
      </c>
      <c r="C133">
        <v>702.36</v>
      </c>
      <c r="D133">
        <v>12.19</v>
      </c>
      <c r="E133" t="s">
        <v>211</v>
      </c>
      <c r="F133">
        <v>14</v>
      </c>
    </row>
    <row r="134" spans="1:6" x14ac:dyDescent="0.25">
      <c r="A134" t="s">
        <v>150</v>
      </c>
      <c r="B134">
        <v>1848.049</v>
      </c>
      <c r="C134">
        <v>702.35900000000004</v>
      </c>
      <c r="D134">
        <v>12.19</v>
      </c>
      <c r="E134" t="s">
        <v>211</v>
      </c>
      <c r="F134">
        <v>14</v>
      </c>
    </row>
    <row r="135" spans="1:6" x14ac:dyDescent="0.25">
      <c r="A135" t="s">
        <v>151</v>
      </c>
      <c r="B135">
        <v>1848.049</v>
      </c>
      <c r="C135">
        <v>702.07899999999995</v>
      </c>
      <c r="D135">
        <v>12.191000000000001</v>
      </c>
      <c r="E135" t="s">
        <v>211</v>
      </c>
      <c r="F135">
        <v>14</v>
      </c>
    </row>
    <row r="136" spans="1:6" x14ac:dyDescent="0.25">
      <c r="A136" t="s">
        <v>152</v>
      </c>
      <c r="B136">
        <v>1847.771</v>
      </c>
      <c r="C136">
        <v>702.07799999999997</v>
      </c>
      <c r="D136">
        <v>12.191000000000001</v>
      </c>
      <c r="E136" t="s">
        <v>211</v>
      </c>
      <c r="F136">
        <v>14</v>
      </c>
    </row>
    <row r="137" spans="1:6" x14ac:dyDescent="0.25">
      <c r="A137" t="s">
        <v>153</v>
      </c>
      <c r="B137">
        <v>1848.164</v>
      </c>
      <c r="C137">
        <v>706.07299999999998</v>
      </c>
      <c r="D137">
        <v>12.071999999999999</v>
      </c>
      <c r="E137" t="s">
        <v>210</v>
      </c>
      <c r="F137">
        <v>15</v>
      </c>
    </row>
    <row r="138" spans="1:6" x14ac:dyDescent="0.25">
      <c r="A138" t="s">
        <v>154</v>
      </c>
      <c r="B138">
        <v>1847.681</v>
      </c>
      <c r="C138">
        <v>706.07899999999995</v>
      </c>
      <c r="D138">
        <v>12.071</v>
      </c>
      <c r="E138" t="s">
        <v>210</v>
      </c>
      <c r="F138">
        <v>15</v>
      </c>
    </row>
    <row r="139" spans="1:6" x14ac:dyDescent="0.25">
      <c r="A139" t="s">
        <v>155</v>
      </c>
      <c r="B139">
        <v>1847.672</v>
      </c>
      <c r="C139">
        <v>706.61900000000003</v>
      </c>
      <c r="D139">
        <v>12.068</v>
      </c>
      <c r="E139" t="s">
        <v>210</v>
      </c>
      <c r="F139">
        <v>15</v>
      </c>
    </row>
    <row r="140" spans="1:6" x14ac:dyDescent="0.25">
      <c r="A140" t="s">
        <v>156</v>
      </c>
      <c r="B140">
        <v>1848.1610000000001</v>
      </c>
      <c r="C140">
        <v>706.62699999999995</v>
      </c>
      <c r="D140">
        <v>12.071</v>
      </c>
      <c r="E140" t="s">
        <v>210</v>
      </c>
      <c r="F140">
        <v>15</v>
      </c>
    </row>
    <row r="141" spans="1:6" x14ac:dyDescent="0.25">
      <c r="A141" t="s">
        <v>157</v>
      </c>
      <c r="B141">
        <v>1847.7719999999999</v>
      </c>
      <c r="C141">
        <v>706.47299999999996</v>
      </c>
      <c r="D141">
        <v>12.188000000000001</v>
      </c>
      <c r="E141" t="s">
        <v>211</v>
      </c>
      <c r="F141">
        <v>15</v>
      </c>
    </row>
    <row r="142" spans="1:6" x14ac:dyDescent="0.25">
      <c r="A142" t="s">
        <v>158</v>
      </c>
      <c r="B142">
        <v>1848.05</v>
      </c>
      <c r="C142">
        <v>706.47500000000002</v>
      </c>
      <c r="D142">
        <v>12.186</v>
      </c>
      <c r="E142" t="s">
        <v>211</v>
      </c>
      <c r="F142">
        <v>15</v>
      </c>
    </row>
    <row r="143" spans="1:6" x14ac:dyDescent="0.25">
      <c r="A143" t="s">
        <v>214</v>
      </c>
      <c r="B143">
        <v>1848.049</v>
      </c>
      <c r="C143">
        <v>706.19799999999998</v>
      </c>
      <c r="D143">
        <v>12.186999999999999</v>
      </c>
      <c r="E143" t="s">
        <v>211</v>
      </c>
      <c r="F143">
        <v>15</v>
      </c>
    </row>
    <row r="144" spans="1:6" x14ac:dyDescent="0.25">
      <c r="A144" t="s">
        <v>215</v>
      </c>
      <c r="B144">
        <v>1847.768</v>
      </c>
      <c r="C144">
        <v>706.19799999999998</v>
      </c>
      <c r="D144">
        <v>12.189</v>
      </c>
      <c r="E144" t="s">
        <v>211</v>
      </c>
      <c r="F144">
        <v>15</v>
      </c>
    </row>
    <row r="145" spans="1:6" x14ac:dyDescent="0.25">
      <c r="A145" t="s">
        <v>216</v>
      </c>
      <c r="B145">
        <v>1852.06</v>
      </c>
      <c r="C145">
        <v>706.62199999999996</v>
      </c>
      <c r="D145">
        <v>12.074</v>
      </c>
      <c r="E145" t="s">
        <v>210</v>
      </c>
      <c r="F145">
        <v>16</v>
      </c>
    </row>
    <row r="146" spans="1:6" x14ac:dyDescent="0.25">
      <c r="A146" t="s">
        <v>217</v>
      </c>
      <c r="B146">
        <v>1852.6010000000001</v>
      </c>
      <c r="C146">
        <v>706.625</v>
      </c>
      <c r="D146">
        <v>12.074999999999999</v>
      </c>
      <c r="E146" t="s">
        <v>210</v>
      </c>
      <c r="F146">
        <v>16</v>
      </c>
    </row>
    <row r="147" spans="1:6" x14ac:dyDescent="0.25">
      <c r="A147" t="s">
        <v>218</v>
      </c>
      <c r="B147">
        <v>1852.61</v>
      </c>
      <c r="C147">
        <v>706.077</v>
      </c>
      <c r="D147">
        <v>12.073</v>
      </c>
      <c r="E147" t="s">
        <v>210</v>
      </c>
      <c r="F147">
        <v>16</v>
      </c>
    </row>
    <row r="148" spans="1:6" x14ac:dyDescent="0.25">
      <c r="A148" t="s">
        <v>219</v>
      </c>
      <c r="B148">
        <v>1852.0640000000001</v>
      </c>
      <c r="C148">
        <v>706.07899999999995</v>
      </c>
      <c r="D148">
        <v>12.074</v>
      </c>
      <c r="E148" t="s">
        <v>210</v>
      </c>
      <c r="F148">
        <v>16</v>
      </c>
    </row>
    <row r="149" spans="1:6" x14ac:dyDescent="0.25">
      <c r="A149" t="s">
        <v>220</v>
      </c>
      <c r="B149">
        <v>1852.19</v>
      </c>
      <c r="C149">
        <v>706.48500000000001</v>
      </c>
      <c r="D149">
        <v>12.19</v>
      </c>
      <c r="E149" t="s">
        <v>211</v>
      </c>
      <c r="F149">
        <v>16</v>
      </c>
    </row>
    <row r="150" spans="1:6" x14ac:dyDescent="0.25">
      <c r="A150" t="s">
        <v>221</v>
      </c>
      <c r="B150">
        <v>1852.4690000000001</v>
      </c>
      <c r="C150">
        <v>706.48299999999995</v>
      </c>
      <c r="D150">
        <v>12.188000000000001</v>
      </c>
      <c r="E150" t="s">
        <v>211</v>
      </c>
      <c r="F150">
        <v>16</v>
      </c>
    </row>
    <row r="151" spans="1:6" x14ac:dyDescent="0.25">
      <c r="A151" t="s">
        <v>222</v>
      </c>
      <c r="B151">
        <v>1852.47</v>
      </c>
      <c r="C151">
        <v>706.20899999999995</v>
      </c>
      <c r="D151">
        <v>12.19</v>
      </c>
      <c r="E151" t="s">
        <v>211</v>
      </c>
      <c r="F151">
        <v>16</v>
      </c>
    </row>
    <row r="152" spans="1:6" x14ac:dyDescent="0.25">
      <c r="A152" t="s">
        <v>223</v>
      </c>
      <c r="B152">
        <v>1852.191</v>
      </c>
      <c r="C152">
        <v>706.20100000000002</v>
      </c>
      <c r="D152">
        <v>12.189</v>
      </c>
      <c r="E152" t="s">
        <v>211</v>
      </c>
      <c r="F152">
        <v>16</v>
      </c>
    </row>
    <row r="153" spans="1:6" x14ac:dyDescent="0.25">
      <c r="A153" t="s">
        <v>224</v>
      </c>
      <c r="B153">
        <v>1852.606</v>
      </c>
      <c r="C153">
        <v>698.47799999999995</v>
      </c>
      <c r="D153">
        <v>12.077</v>
      </c>
      <c r="E153" t="s">
        <v>210</v>
      </c>
      <c r="F153">
        <v>17</v>
      </c>
    </row>
    <row r="154" spans="1:6" x14ac:dyDescent="0.25">
      <c r="A154" t="s">
        <v>225</v>
      </c>
      <c r="B154">
        <v>1852.6089999999999</v>
      </c>
      <c r="C154">
        <v>697.92499999999995</v>
      </c>
      <c r="D154">
        <v>12.08</v>
      </c>
      <c r="E154" t="s">
        <v>210</v>
      </c>
      <c r="F154">
        <v>17</v>
      </c>
    </row>
    <row r="155" spans="1:6" x14ac:dyDescent="0.25">
      <c r="A155" t="s">
        <v>226</v>
      </c>
      <c r="B155">
        <v>1852.06</v>
      </c>
      <c r="C155">
        <v>697.92200000000003</v>
      </c>
      <c r="D155">
        <v>12.079000000000001</v>
      </c>
      <c r="E155" t="s">
        <v>210</v>
      </c>
      <c r="F155">
        <v>17</v>
      </c>
    </row>
    <row r="156" spans="1:6" x14ac:dyDescent="0.25">
      <c r="A156" t="s">
        <v>227</v>
      </c>
      <c r="B156">
        <v>1852.059</v>
      </c>
      <c r="C156">
        <v>698.47</v>
      </c>
      <c r="D156">
        <v>12.077999999999999</v>
      </c>
      <c r="E156" t="s">
        <v>210</v>
      </c>
      <c r="F156">
        <v>17</v>
      </c>
    </row>
    <row r="157" spans="1:6" x14ac:dyDescent="0.25">
      <c r="A157" t="s">
        <v>228</v>
      </c>
      <c r="B157">
        <v>1852.1890000000001</v>
      </c>
      <c r="C157">
        <v>698.33600000000001</v>
      </c>
      <c r="D157">
        <v>12.194000000000001</v>
      </c>
      <c r="E157" t="s">
        <v>211</v>
      </c>
      <c r="F157">
        <v>17</v>
      </c>
    </row>
    <row r="158" spans="1:6" x14ac:dyDescent="0.25">
      <c r="A158" t="s">
        <v>229</v>
      </c>
      <c r="B158">
        <v>1852.4670000000001</v>
      </c>
      <c r="C158">
        <v>698.33799999999997</v>
      </c>
      <c r="D158">
        <v>12.194000000000001</v>
      </c>
      <c r="E158" t="s">
        <v>211</v>
      </c>
      <c r="F158">
        <v>17</v>
      </c>
    </row>
    <row r="159" spans="1:6" x14ac:dyDescent="0.25">
      <c r="A159" t="s">
        <v>230</v>
      </c>
      <c r="B159">
        <v>1852.4680000000001</v>
      </c>
      <c r="C159">
        <v>698.05899999999997</v>
      </c>
      <c r="D159">
        <v>12.19</v>
      </c>
      <c r="E159" t="s">
        <v>211</v>
      </c>
      <c r="F159">
        <v>17</v>
      </c>
    </row>
    <row r="160" spans="1:6" x14ac:dyDescent="0.25">
      <c r="A160" t="s">
        <v>231</v>
      </c>
      <c r="B160">
        <v>1852.1890000000001</v>
      </c>
      <c r="C160">
        <v>698.05600000000004</v>
      </c>
      <c r="D160">
        <v>12.192</v>
      </c>
      <c r="E160" t="s">
        <v>211</v>
      </c>
      <c r="F160">
        <v>17</v>
      </c>
    </row>
    <row r="161" spans="1:1" x14ac:dyDescent="0.25">
      <c r="A161" t="s">
        <v>232</v>
      </c>
    </row>
    <row r="162" spans="1:1" x14ac:dyDescent="0.25">
      <c r="A162" t="s">
        <v>232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mdNext">
          <controlPr autoLine="0" r:id="rId5">
            <anchor moveWithCells="1">
              <from>
                <xdr:col>10</xdr:col>
                <xdr:colOff>161925</xdr:colOff>
                <xdr:row>35</xdr:row>
                <xdr:rowOff>180975</xdr:rowOff>
              </from>
              <to>
                <xdr:col>11</xdr:col>
                <xdr:colOff>466725</xdr:colOff>
                <xdr:row>37</xdr:row>
                <xdr:rowOff>104775</xdr:rowOff>
              </to>
            </anchor>
          </controlPr>
        </control>
      </mc:Choice>
      <mc:Fallback>
        <control shapeId="2061" r:id="rId4" name="cmdNext"/>
      </mc:Fallback>
    </mc:AlternateContent>
    <mc:AlternateContent xmlns:mc="http://schemas.openxmlformats.org/markup-compatibility/2006">
      <mc:Choice Requires="x14">
        <control shapeId="2060" r:id="rId6" name="cmdPrev">
          <controlPr autoLine="0" r:id="rId7">
            <anchor moveWithCells="1">
              <from>
                <xdr:col>8</xdr:col>
                <xdr:colOff>180975</xdr:colOff>
                <xdr:row>35</xdr:row>
                <xdr:rowOff>180975</xdr:rowOff>
              </from>
              <to>
                <xdr:col>9</xdr:col>
                <xdr:colOff>485775</xdr:colOff>
                <xdr:row>37</xdr:row>
                <xdr:rowOff>104775</xdr:rowOff>
              </to>
            </anchor>
          </controlPr>
        </control>
      </mc:Choice>
      <mc:Fallback>
        <control shapeId="2060" r:id="rId6" name="cmdPrev"/>
      </mc:Fallback>
    </mc:AlternateContent>
    <mc:AlternateContent xmlns:mc="http://schemas.openxmlformats.org/markup-compatibility/2006">
      <mc:Choice Requires="x14">
        <control shapeId="2059" r:id="rId8" name="cmdCalculate">
          <controlPr autoLine="0" r:id="rId9">
            <anchor moveWithCells="1">
              <from>
                <xdr:col>8</xdr:col>
                <xdr:colOff>19050</xdr:colOff>
                <xdr:row>31</xdr:row>
                <xdr:rowOff>38100</xdr:rowOff>
              </from>
              <to>
                <xdr:col>9</xdr:col>
                <xdr:colOff>485775</xdr:colOff>
                <xdr:row>32</xdr:row>
                <xdr:rowOff>142875</xdr:rowOff>
              </to>
            </anchor>
          </controlPr>
        </control>
      </mc:Choice>
      <mc:Fallback>
        <control shapeId="2059" r:id="rId8" name="cmdCalculate"/>
      </mc:Fallback>
    </mc:AlternateContent>
    <mc:AlternateContent xmlns:mc="http://schemas.openxmlformats.org/markup-compatibility/2006">
      <mc:Choice Requires="x14">
        <control shapeId="2058" r:id="rId10" name="cmdImport">
          <controlPr autoLine="0" r:id="rId11">
            <anchor moveWithCells="1">
              <from>
                <xdr:col>11</xdr:col>
                <xdr:colOff>66675</xdr:colOff>
                <xdr:row>30</xdr:row>
                <xdr:rowOff>180975</xdr:rowOff>
              </from>
              <to>
                <xdr:col>12</xdr:col>
                <xdr:colOff>552450</xdr:colOff>
                <xdr:row>32</xdr:row>
                <xdr:rowOff>104775</xdr:rowOff>
              </to>
            </anchor>
          </controlPr>
        </control>
      </mc:Choice>
      <mc:Fallback>
        <control shapeId="2058" r:id="rId10" name="cmdImport"/>
      </mc:Fallback>
    </mc:AlternateContent>
    <mc:AlternateContent xmlns:mc="http://schemas.openxmlformats.org/markup-compatibility/2006">
      <mc:Choice Requires="x14">
        <control shapeId="2056" r:id="rId12" name="cmdUpdateLB">
          <controlPr autoLine="0" r:id="rId13">
            <anchor moveWithCells="1">
              <from>
                <xdr:col>8</xdr:col>
                <xdr:colOff>19050</xdr:colOff>
                <xdr:row>28</xdr:row>
                <xdr:rowOff>161925</xdr:rowOff>
              </from>
              <to>
                <xdr:col>9</xdr:col>
                <xdr:colOff>495300</xdr:colOff>
                <xdr:row>30</xdr:row>
                <xdr:rowOff>114300</xdr:rowOff>
              </to>
            </anchor>
          </controlPr>
        </control>
      </mc:Choice>
      <mc:Fallback>
        <control shapeId="2056" r:id="rId12" name="cmdUpdateLB"/>
      </mc:Fallback>
    </mc:AlternateContent>
    <mc:AlternateContent xmlns:mc="http://schemas.openxmlformats.org/markup-compatibility/2006">
      <mc:Choice Requires="x14">
        <control shapeId="2055" r:id="rId14" name="lstFND">
          <controlPr autoLine="0" linkedCell="M7" r:id="rId15">
            <anchor moveWithCells="1">
              <from>
                <xdr:col>8</xdr:col>
                <xdr:colOff>209550</xdr:colOff>
                <xdr:row>8</xdr:row>
                <xdr:rowOff>161925</xdr:rowOff>
              </from>
              <to>
                <xdr:col>9</xdr:col>
                <xdr:colOff>114300</xdr:colOff>
                <xdr:row>21</xdr:row>
                <xdr:rowOff>142875</xdr:rowOff>
              </to>
            </anchor>
          </controlPr>
        </control>
      </mc:Choice>
      <mc:Fallback>
        <control shapeId="2055" r:id="rId14" name="lstFND"/>
      </mc:Fallback>
    </mc:AlternateContent>
    <mc:AlternateContent xmlns:mc="http://schemas.openxmlformats.org/markup-compatibility/2006">
      <mc:Choice Requires="x14">
        <control shapeId="2057" r:id="rId16" name="Group Box 9">
          <controlPr defaultSize="0" autoFill="0" autoPict="0">
            <anchor moveWithCells="1">
              <from>
                <xdr:col>7</xdr:col>
                <xdr:colOff>9525</xdr:colOff>
                <xdr:row>6</xdr:row>
                <xdr:rowOff>0</xdr:rowOff>
              </from>
              <to>
                <xdr:col>13</xdr:col>
                <xdr:colOff>0</xdr:colOff>
                <xdr:row>32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R53"/>
  <sheetViews>
    <sheetView workbookViewId="0">
      <selection activeCell="F15" sqref="F15"/>
    </sheetView>
  </sheetViews>
  <sheetFormatPr defaultRowHeight="15" x14ac:dyDescent="0.25"/>
  <cols>
    <col min="1" max="1" width="12.42578125" bestFit="1" customWidth="1"/>
    <col min="2" max="3" width="9.5703125" bestFit="1" customWidth="1"/>
    <col min="6" max="6" width="9.7109375" customWidth="1"/>
    <col min="10" max="10" width="9.42578125" bestFit="1" customWidth="1"/>
    <col min="17" max="17" width="9.140625" customWidth="1"/>
  </cols>
  <sheetData>
    <row r="2" spans="1:18" x14ac:dyDescent="0.25">
      <c r="A2" s="3" t="s">
        <v>16</v>
      </c>
      <c r="Q2" s="3" t="s">
        <v>186</v>
      </c>
    </row>
    <row r="3" spans="1:18" x14ac:dyDescent="0.25">
      <c r="A3" t="s">
        <v>47</v>
      </c>
      <c r="B3">
        <v>1063.261</v>
      </c>
      <c r="C3">
        <v>655.18499999999995</v>
      </c>
      <c r="D3">
        <v>16.507000000000001</v>
      </c>
      <c r="E3" t="s">
        <v>3</v>
      </c>
      <c r="F3">
        <v>2</v>
      </c>
      <c r="Q3" s="50">
        <f>(BRNG($A$46,$B$46,B3,C3)/(2*PI()))*360</f>
        <v>25.381150775540043</v>
      </c>
      <c r="R3" s="49"/>
    </row>
    <row r="4" spans="1:18" x14ac:dyDescent="0.25">
      <c r="A4" t="s">
        <v>48</v>
      </c>
      <c r="B4">
        <v>1063.383</v>
      </c>
      <c r="C4">
        <v>655.16300000000001</v>
      </c>
      <c r="D4">
        <v>16.504999999999999</v>
      </c>
      <c r="E4" t="s">
        <v>3</v>
      </c>
      <c r="F4">
        <v>2</v>
      </c>
      <c r="Q4" s="50">
        <f>(BRNG($A$46,$B$46,B4,C4)/(2*PI()))*360</f>
        <v>53.152413793653118</v>
      </c>
    </row>
    <row r="5" spans="1:18" x14ac:dyDescent="0.25">
      <c r="A5" t="s">
        <v>49</v>
      </c>
      <c r="B5">
        <v>1063.3789999999999</v>
      </c>
      <c r="C5">
        <v>654.90800000000002</v>
      </c>
      <c r="D5">
        <v>16.507999999999999</v>
      </c>
      <c r="E5" t="s">
        <v>3</v>
      </c>
      <c r="F5">
        <v>2</v>
      </c>
      <c r="M5">
        <v>96</v>
      </c>
      <c r="Q5" s="50">
        <f>(BRNG($A$46,$B$46,B5,C5)/(2*PI()))*360</f>
        <v>116.62189220954639</v>
      </c>
    </row>
    <row r="6" spans="1:18" x14ac:dyDescent="0.25">
      <c r="A6" t="s">
        <v>51</v>
      </c>
      <c r="B6">
        <v>1063.2719999999999</v>
      </c>
      <c r="C6">
        <v>654.78200000000004</v>
      </c>
      <c r="D6">
        <v>16.504000000000001</v>
      </c>
      <c r="E6" t="s">
        <v>3</v>
      </c>
      <c r="F6">
        <v>2</v>
      </c>
      <c r="Q6" s="50">
        <f>(BRNG($A$46,$B$46,B6,C6)/(2*PI()))*360</f>
        <v>157.39805958744782</v>
      </c>
    </row>
    <row r="7" spans="1:18" x14ac:dyDescent="0.25">
      <c r="A7" t="s">
        <v>52</v>
      </c>
      <c r="B7">
        <v>1063.0709999999999</v>
      </c>
      <c r="C7">
        <v>654.78399999999999</v>
      </c>
      <c r="D7">
        <v>16.507999999999999</v>
      </c>
      <c r="E7" t="s">
        <v>3</v>
      </c>
      <c r="F7">
        <v>2</v>
      </c>
      <c r="Q7" s="50">
        <f>(BRNG($A$46,$B$46,B7,C7)/(2*PI()))*360</f>
        <v>205.32975410821726</v>
      </c>
    </row>
    <row r="8" spans="1:18" x14ac:dyDescent="0.25">
      <c r="A8" t="s">
        <v>44</v>
      </c>
      <c r="B8">
        <v>1062.98</v>
      </c>
      <c r="C8">
        <v>654.92499999999995</v>
      </c>
      <c r="D8">
        <v>16.507999999999999</v>
      </c>
      <c r="E8" t="s">
        <v>3</v>
      </c>
      <c r="F8">
        <v>2</v>
      </c>
      <c r="Q8" s="50">
        <f>(BRNG($A$46,$B$46,B8,C8)/(2*PI()))*360</f>
        <v>246.95915213324949</v>
      </c>
    </row>
    <row r="9" spans="1:18" x14ac:dyDescent="0.25">
      <c r="A9" t="s">
        <v>45</v>
      </c>
      <c r="B9">
        <v>1062.9829999999999</v>
      </c>
      <c r="C9">
        <v>655.13900000000001</v>
      </c>
      <c r="D9">
        <v>16.507999999999999</v>
      </c>
      <c r="E9" t="s">
        <v>3</v>
      </c>
      <c r="F9">
        <v>2</v>
      </c>
      <c r="Q9" s="50">
        <f>(BRNG($A$46,$B$46,B9,C9)/(2*PI()))*360</f>
        <v>303.7579937294916</v>
      </c>
    </row>
    <row r="10" spans="1:18" x14ac:dyDescent="0.25">
      <c r="A10" t="s">
        <v>46</v>
      </c>
      <c r="B10">
        <v>1063.0909999999999</v>
      </c>
      <c r="C10">
        <v>655.18600000000004</v>
      </c>
      <c r="D10">
        <v>16.507000000000001</v>
      </c>
      <c r="E10" t="s">
        <v>3</v>
      </c>
      <c r="F10">
        <v>2</v>
      </c>
      <c r="Q10" s="50">
        <f>(BRNG($A$46,$B$46,B10,C10)/(2*PI()))*360</f>
        <v>333.95521401949878</v>
      </c>
    </row>
    <row r="12" spans="1:18" x14ac:dyDescent="0.25">
      <c r="A12" t="s">
        <v>40</v>
      </c>
      <c r="B12">
        <v>1055.03</v>
      </c>
      <c r="C12">
        <v>655.12400000000002</v>
      </c>
      <c r="D12">
        <v>16.399000000000001</v>
      </c>
      <c r="E12" t="s">
        <v>2</v>
      </c>
      <c r="F12">
        <v>2</v>
      </c>
    </row>
    <row r="13" spans="1:18" x14ac:dyDescent="0.25">
      <c r="A13" t="s">
        <v>41</v>
      </c>
      <c r="B13">
        <v>1055.3330000000001</v>
      </c>
      <c r="C13">
        <v>655.12800000000004</v>
      </c>
      <c r="D13">
        <v>16.398</v>
      </c>
      <c r="E13" t="s">
        <v>2</v>
      </c>
      <c r="F13">
        <v>2</v>
      </c>
    </row>
    <row r="14" spans="1:18" x14ac:dyDescent="0.25">
      <c r="A14" t="s">
        <v>42</v>
      </c>
      <c r="B14">
        <v>1055.338</v>
      </c>
      <c r="C14">
        <v>654.81700000000001</v>
      </c>
      <c r="D14">
        <v>16.399000000000001</v>
      </c>
      <c r="E14" t="s">
        <v>2</v>
      </c>
      <c r="F14">
        <v>2</v>
      </c>
    </row>
    <row r="15" spans="1:18" x14ac:dyDescent="0.25">
      <c r="A15" t="s">
        <v>43</v>
      </c>
      <c r="B15">
        <v>1055.019</v>
      </c>
      <c r="C15">
        <v>654.83000000000004</v>
      </c>
      <c r="D15">
        <v>16.399000000000001</v>
      </c>
      <c r="E15" t="s">
        <v>2</v>
      </c>
      <c r="F15">
        <v>2</v>
      </c>
    </row>
    <row r="17" spans="1:13" x14ac:dyDescent="0.25">
      <c r="A17" s="3" t="s">
        <v>15</v>
      </c>
    </row>
    <row r="18" spans="1:13" x14ac:dyDescent="0.25">
      <c r="A18" t="str">
        <f>A6&amp;"_calc"</f>
        <v>TPS0036_calc</v>
      </c>
      <c r="B18" s="2">
        <f t="array" ref="B18:C18">TRANSPOSE(M28:M29)</f>
        <v>1063.3833327333102</v>
      </c>
      <c r="C18" s="2">
        <v>655.18428081873401</v>
      </c>
      <c r="D18">
        <f>O40</f>
        <v>16.398</v>
      </c>
      <c r="E18" t="str">
        <f>IF(E3="CE","PC","PE")</f>
        <v>PC</v>
      </c>
      <c r="F18">
        <f>500+$F$3</f>
        <v>502</v>
      </c>
    </row>
    <row r="19" spans="1:13" x14ac:dyDescent="0.25">
      <c r="A19" t="str">
        <f>A5&amp;"_calc"</f>
        <v>TPS0035_calc</v>
      </c>
      <c r="B19" s="2">
        <f t="array" ref="B19:C19">TRANSPOSE(M30:M31)</f>
        <v>1063.3770076140249</v>
      </c>
      <c r="C19" s="2">
        <v>654.7809536325135</v>
      </c>
      <c r="D19">
        <f>O41</f>
        <v>16.399000000000001</v>
      </c>
      <c r="E19" t="str">
        <f>IF(E4="CE","PC","PE")</f>
        <v>PC</v>
      </c>
      <c r="F19">
        <f>500+$F$3</f>
        <v>502</v>
      </c>
    </row>
    <row r="20" spans="1:13" x14ac:dyDescent="0.25">
      <c r="A20" t="str">
        <f>A7&amp;"_calc"</f>
        <v>TPS0037_calc</v>
      </c>
      <c r="B20" s="2">
        <f t="array" ref="B20:C20">TRANSPOSE(M32:M33)</f>
        <v>1062.9778709068628</v>
      </c>
      <c r="C20" s="2">
        <v>654.78492711889635</v>
      </c>
      <c r="D20">
        <f>O42</f>
        <v>16.399000000000001</v>
      </c>
      <c r="E20" t="str">
        <f>IF(E5="CE","PC","PE")</f>
        <v>PC</v>
      </c>
      <c r="F20">
        <f>500+$F$3</f>
        <v>502</v>
      </c>
    </row>
    <row r="21" spans="1:13" x14ac:dyDescent="0.25">
      <c r="A21" t="str">
        <f>A9&amp;"_calc"</f>
        <v>TPS0031_calc</v>
      </c>
      <c r="B21" s="2">
        <f t="array" ref="B21:C21">TRANSPOSE(M34:M35)</f>
        <v>1062.983689971295</v>
      </c>
      <c r="C21" s="2">
        <v>655.18663027647676</v>
      </c>
      <c r="D21">
        <f>O43</f>
        <v>16.398</v>
      </c>
      <c r="E21" t="str">
        <f>IF(E6="CE","PC","PE")</f>
        <v>PC</v>
      </c>
      <c r="F21">
        <f>500+$F$3</f>
        <v>502</v>
      </c>
    </row>
    <row r="26" spans="1:13" x14ac:dyDescent="0.25">
      <c r="D26" s="23" t="s">
        <v>12</v>
      </c>
      <c r="E26" s="16"/>
      <c r="F26" s="16"/>
      <c r="G26" s="16"/>
      <c r="H26" s="16"/>
      <c r="I26" s="16"/>
      <c r="J26" s="16"/>
      <c r="K26" s="16"/>
      <c r="L26" s="16"/>
      <c r="M26" s="17"/>
    </row>
    <row r="27" spans="1:13" x14ac:dyDescent="0.25">
      <c r="A27" s="23" t="s">
        <v>10</v>
      </c>
      <c r="B27" s="26" t="s">
        <v>11</v>
      </c>
      <c r="D27" s="13"/>
      <c r="E27" s="27" t="s">
        <v>0</v>
      </c>
      <c r="F27" s="27" t="s">
        <v>1</v>
      </c>
      <c r="G27" s="14"/>
      <c r="H27" s="27" t="s">
        <v>5</v>
      </c>
      <c r="I27" s="27" t="s">
        <v>13</v>
      </c>
      <c r="J27" s="14"/>
      <c r="K27" s="14"/>
      <c r="L27" s="14"/>
      <c r="M27" s="15"/>
    </row>
    <row r="28" spans="1:13" x14ac:dyDescent="0.25">
      <c r="A28" s="4">
        <f>IF($A$34&gt;$A$35,(C4-C3)/(B4-B3+0.0001),(C3-C10)/(B3-B10+0.0001))</f>
        <v>-5.8788947683104777E-3</v>
      </c>
      <c r="B28" s="19">
        <f>A28*B3-C3</f>
        <v>-661.43579953024846</v>
      </c>
      <c r="D28" s="24" t="s">
        <v>4</v>
      </c>
      <c r="E28" s="18">
        <f>A28</f>
        <v>-5.8788947683104777E-3</v>
      </c>
      <c r="F28" s="18">
        <v>-1</v>
      </c>
      <c r="G28" s="5"/>
      <c r="H28" s="5">
        <f t="array" ref="H28:I29">MINVERSE(E28:F29)</f>
        <v>-1.5680907241980627E-2</v>
      </c>
      <c r="I28" s="5">
        <v>1.5680907241980627E-2</v>
      </c>
      <c r="J28" s="5"/>
      <c r="K28" s="5">
        <f>B28</f>
        <v>-661.43579953024846</v>
      </c>
      <c r="L28" s="5"/>
      <c r="M28" s="6">
        <f t="array" ref="M28:M29">MMULT(H28:I29,K28:K29)</f>
        <v>1063.3833327333102</v>
      </c>
    </row>
    <row r="29" spans="1:13" x14ac:dyDescent="0.25">
      <c r="A29" s="7">
        <f>IF($A$34&gt;$A$35,(C6-C5)/(B6-B5+0.0001),(C5-C4)/(B5-B4+0.000001))</f>
        <v>63.765941483252867</v>
      </c>
      <c r="B29" s="20">
        <f>A29*B5-C5</f>
        <v>67152.455088519942</v>
      </c>
      <c r="D29" s="24"/>
      <c r="E29" s="18">
        <f>A29</f>
        <v>63.765941483252867</v>
      </c>
      <c r="F29" s="18">
        <v>-1</v>
      </c>
      <c r="G29" s="5"/>
      <c r="H29" s="5">
        <v>-0.99990781359645275</v>
      </c>
      <c r="I29" s="5">
        <v>-9.2186403547241794E-5</v>
      </c>
      <c r="J29" s="5"/>
      <c r="K29" s="5">
        <f>B29</f>
        <v>67152.455088519942</v>
      </c>
      <c r="L29" s="5"/>
      <c r="M29" s="6">
        <v>655.18428081873401</v>
      </c>
    </row>
    <row r="30" spans="1:13" x14ac:dyDescent="0.25">
      <c r="A30" s="4">
        <f>IF($A$34&gt;$A$35,IFERROR((C8-C7)/(B8-B7+0.0001),(C8-C7)/(B8-B7+0.0001)),(C7-C6)/(B7-B6+0.0001))</f>
        <v>-9.9552015925957627E-3</v>
      </c>
      <c r="B30" s="19">
        <f>A30*B7-C7</f>
        <v>-665.3670861122423</v>
      </c>
      <c r="D30" s="25" t="s">
        <v>6</v>
      </c>
      <c r="E30" s="31">
        <f>A29</f>
        <v>63.765941483252867</v>
      </c>
      <c r="F30" s="31">
        <v>-1</v>
      </c>
      <c r="G30" s="8"/>
      <c r="H30" s="8">
        <f t="array" ref="H30:I31">MINVERSE(E30:F31)</f>
        <v>1.5679904979487676E-2</v>
      </c>
      <c r="I30" s="8">
        <v>-1.5679904979487676E-2</v>
      </c>
      <c r="J30" s="8"/>
      <c r="K30" s="8">
        <f>B29</f>
        <v>67152.455088519942</v>
      </c>
      <c r="L30" s="8"/>
      <c r="M30" s="9">
        <f t="array" ref="M30:M31">MMULT(H30:I31,K30:K31)</f>
        <v>1063.3770076140249</v>
      </c>
    </row>
    <row r="31" spans="1:13" x14ac:dyDescent="0.25">
      <c r="A31" s="7">
        <f>IF($A$34&gt;$A$35,(C10-C9)/(B10-B9+0.0001),(C9-C8)/(B9-B8+0.0001))</f>
        <v>69.032258066113769</v>
      </c>
      <c r="B31" s="20">
        <f>A31*B9-C9</f>
        <v>72724.977775891821</v>
      </c>
      <c r="D31" s="25"/>
      <c r="E31" s="31">
        <f>A30</f>
        <v>-9.9552015925957627E-3</v>
      </c>
      <c r="F31" s="31">
        <v>-1</v>
      </c>
      <c r="G31" s="8"/>
      <c r="H31" s="8">
        <v>-1.5609661502354597E-4</v>
      </c>
      <c r="I31" s="8">
        <v>-0.99984390338497653</v>
      </c>
      <c r="J31" s="8"/>
      <c r="K31" s="8">
        <f>B30</f>
        <v>-665.3670861122423</v>
      </c>
      <c r="L31" s="8"/>
      <c r="M31" s="9">
        <v>654.7809536325135</v>
      </c>
    </row>
    <row r="32" spans="1:13" x14ac:dyDescent="0.25">
      <c r="A32" s="21">
        <f>A28</f>
        <v>-5.8788947683104777E-3</v>
      </c>
      <c r="B32" s="22">
        <f>B28</f>
        <v>-661.43579953024846</v>
      </c>
      <c r="D32" s="24" t="s">
        <v>7</v>
      </c>
      <c r="E32" s="18">
        <f>A30</f>
        <v>-9.9552015925957627E-3</v>
      </c>
      <c r="F32" s="18">
        <v>-1</v>
      </c>
      <c r="G32" s="5"/>
      <c r="H32" s="5">
        <f t="array" ref="H32:I33">MINVERSE(E32:F33)</f>
        <v>-1.4483892573411136E-2</v>
      </c>
      <c r="I32" s="5">
        <v>1.4483892573411136E-2</v>
      </c>
      <c r="J32" s="5"/>
      <c r="K32" s="5">
        <f>B30</f>
        <v>-665.3670861122423</v>
      </c>
      <c r="L32" s="5"/>
      <c r="M32" s="6">
        <f t="array" ref="M32:M33">MMULT(H32:I33,K32:K33)</f>
        <v>1062.9778709068628</v>
      </c>
    </row>
    <row r="33" spans="1:15" x14ac:dyDescent="0.25">
      <c r="D33" s="24"/>
      <c r="E33" s="18">
        <f>A31</f>
        <v>69.032258066113769</v>
      </c>
      <c r="F33" s="18">
        <v>-1</v>
      </c>
      <c r="G33" s="5"/>
      <c r="H33" s="5">
        <v>-0.99985580992958623</v>
      </c>
      <c r="I33" s="5">
        <v>-1.4419007041380848E-4</v>
      </c>
      <c r="J33" s="5"/>
      <c r="K33" s="5">
        <f>B31</f>
        <v>72724.977775891821</v>
      </c>
      <c r="L33" s="5"/>
      <c r="M33" s="6">
        <v>654.78492711889635</v>
      </c>
    </row>
    <row r="34" spans="1:15" x14ac:dyDescent="0.25">
      <c r="A34">
        <f>SQRT((B4-B3)^2+(C4-C3)^2)</f>
        <v>0.12396773773855208</v>
      </c>
      <c r="D34" s="25" t="s">
        <v>8</v>
      </c>
      <c r="E34" s="31">
        <f>A31</f>
        <v>69.032258066113769</v>
      </c>
      <c r="F34" s="31">
        <v>-1</v>
      </c>
      <c r="G34" s="8"/>
      <c r="H34" s="8">
        <f t="array" ref="H34:I35">MINVERSE(E34:F35)</f>
        <v>1.4484747764364111E-2</v>
      </c>
      <c r="I34" s="8">
        <v>-1.4484747764364109E-2</v>
      </c>
      <c r="J34" s="8"/>
      <c r="K34" s="8">
        <f>B31</f>
        <v>72724.977775891821</v>
      </c>
      <c r="L34" s="8"/>
      <c r="M34" s="9">
        <f t="array" ref="M34:M35">MMULT(H34:I35,K34:K35)</f>
        <v>1062.983689971295</v>
      </c>
    </row>
    <row r="35" spans="1:15" x14ac:dyDescent="0.25">
      <c r="A35">
        <f>SQRT((B5-B4)^2+(C5-C4)^2)</f>
        <v>0.25503137061937842</v>
      </c>
      <c r="D35" s="10"/>
      <c r="E35" s="31">
        <f>A32</f>
        <v>-5.8788947683104777E-3</v>
      </c>
      <c r="F35" s="31">
        <v>-1</v>
      </c>
      <c r="G35" s="11"/>
      <c r="H35" s="11">
        <v>-8.5154307852217058E-5</v>
      </c>
      <c r="I35" s="11">
        <v>-0.99991484569214772</v>
      </c>
      <c r="J35" s="11"/>
      <c r="K35" s="11">
        <f>B32</f>
        <v>-661.43579953024846</v>
      </c>
      <c r="L35" s="11"/>
      <c r="M35" s="12">
        <v>655.18663027647676</v>
      </c>
    </row>
    <row r="39" spans="1:15" x14ac:dyDescent="0.25">
      <c r="A39" s="32" t="s">
        <v>9</v>
      </c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7"/>
    </row>
    <row r="40" spans="1:15" x14ac:dyDescent="0.25">
      <c r="A40" s="4" t="str">
        <f t="shared" ref="A40:C43" si="0">A18</f>
        <v>TPS0036_calc</v>
      </c>
      <c r="B40" s="5">
        <f t="shared" si="0"/>
        <v>1063.3833327333102</v>
      </c>
      <c r="C40" s="5">
        <f t="shared" si="0"/>
        <v>655.18428081873401</v>
      </c>
      <c r="D40" s="5"/>
      <c r="E40" s="33">
        <f>SQRT(($B18-$B$12)^2+($C18-$C$12)^2)</f>
        <v>8.3535502351096085</v>
      </c>
      <c r="F40" s="34">
        <f>SQRT(($B18-$B$13)^2+($C18-$C$13)^2)</f>
        <v>8.0505294638031177</v>
      </c>
      <c r="G40" s="34">
        <f>SQRT(($B18-$B$14)^2+($C18-$C$14)^2)</f>
        <v>8.0537118144048012</v>
      </c>
      <c r="H40" s="35">
        <f>SQRT(($B18-$B$15)^2+($C18-$C$15)^2)</f>
        <v>8.3718323545116249</v>
      </c>
      <c r="I40" s="5"/>
      <c r="J40" s="28">
        <f t="shared" ref="J40:M43" si="1">IF(E40=MIN($E40:$H40),1,0)</f>
        <v>0</v>
      </c>
      <c r="K40" s="29">
        <f t="shared" si="1"/>
        <v>1</v>
      </c>
      <c r="L40" s="29">
        <f t="shared" si="1"/>
        <v>0</v>
      </c>
      <c r="M40" s="30">
        <f t="shared" si="1"/>
        <v>0</v>
      </c>
      <c r="N40" s="5"/>
      <c r="O40" s="36">
        <f t="array" ref="O40:O43">MMULT(J40:M43,D12:D15)</f>
        <v>16.398</v>
      </c>
    </row>
    <row r="41" spans="1:15" x14ac:dyDescent="0.25">
      <c r="A41" s="7" t="str">
        <f t="shared" si="0"/>
        <v>TPS0035_calc</v>
      </c>
      <c r="B41" s="8">
        <f t="shared" si="0"/>
        <v>1063.3770076140249</v>
      </c>
      <c r="C41" s="8">
        <f t="shared" si="0"/>
        <v>654.7809536325135</v>
      </c>
      <c r="D41" s="8"/>
      <c r="E41" s="40">
        <f>SQRT(($B19-$B$12)^2+($C19-$C$12)^2)</f>
        <v>8.3540539212310794</v>
      </c>
      <c r="F41" s="41">
        <f>SQRT(($B19-$B$13)^2+($C19-$C$13)^2)</f>
        <v>8.0514905250938078</v>
      </c>
      <c r="G41" s="41">
        <f>SQRT(($B19-$B$14)^2+($C19-$C$14)^2)</f>
        <v>8.0390884283580544</v>
      </c>
      <c r="H41" s="42">
        <f>SQRT(($B19-$B$15)^2+($C19-$C$15)^2)</f>
        <v>8.3581515194606446</v>
      </c>
      <c r="I41" s="8"/>
      <c r="J41" s="7">
        <f t="shared" si="1"/>
        <v>0</v>
      </c>
      <c r="K41" s="8">
        <f t="shared" si="1"/>
        <v>0</v>
      </c>
      <c r="L41" s="8">
        <f t="shared" si="1"/>
        <v>1</v>
      </c>
      <c r="M41" s="9">
        <f t="shared" si="1"/>
        <v>0</v>
      </c>
      <c r="N41" s="8"/>
      <c r="O41" s="20">
        <v>16.399000000000001</v>
      </c>
    </row>
    <row r="42" spans="1:15" x14ac:dyDescent="0.25">
      <c r="A42" s="4" t="str">
        <f t="shared" si="0"/>
        <v>TPS0037_calc</v>
      </c>
      <c r="B42" s="5">
        <f t="shared" si="0"/>
        <v>1062.9778709068628</v>
      </c>
      <c r="C42" s="5">
        <f t="shared" si="0"/>
        <v>654.78492711889635</v>
      </c>
      <c r="D42" s="5"/>
      <c r="E42" s="37">
        <f>SQRT(($B20-$B$12)^2+($C20-$C$12)^2)</f>
        <v>7.9551003997973737</v>
      </c>
      <c r="F42" s="38">
        <f>SQRT(($B20-$B$13)^2+($C20-$C$13)^2)</f>
        <v>7.6525649415306898</v>
      </c>
      <c r="G42" s="38">
        <f>SQRT(($B20-$B$14)^2+($C20-$C$14)^2)</f>
        <v>7.6399382290193483</v>
      </c>
      <c r="H42" s="39">
        <f>SQRT(($B20-$B$15)^2+($C20-$C$15)^2)</f>
        <v>7.9589985347855059</v>
      </c>
      <c r="I42" s="5"/>
      <c r="J42" s="4">
        <f t="shared" si="1"/>
        <v>0</v>
      </c>
      <c r="K42" s="5">
        <f t="shared" si="1"/>
        <v>0</v>
      </c>
      <c r="L42" s="5">
        <f t="shared" si="1"/>
        <v>1</v>
      </c>
      <c r="M42" s="6">
        <f t="shared" si="1"/>
        <v>0</v>
      </c>
      <c r="N42" s="5"/>
      <c r="O42" s="19">
        <v>16.399000000000001</v>
      </c>
    </row>
    <row r="43" spans="1:15" x14ac:dyDescent="0.25">
      <c r="A43" s="10" t="str">
        <f t="shared" si="0"/>
        <v>TPS0031_calc</v>
      </c>
      <c r="B43" s="11">
        <f t="shared" si="0"/>
        <v>1062.983689971295</v>
      </c>
      <c r="C43" s="11">
        <f t="shared" si="0"/>
        <v>655.18663027647676</v>
      </c>
      <c r="D43" s="11"/>
      <c r="E43" s="43">
        <f>SQRT(($B21-$B$12)^2+($C21-$C$12)^2)</f>
        <v>7.9539365543742404</v>
      </c>
      <c r="F43" s="44">
        <f>SQRT(($B21-$B$13)^2+($C21-$C$13)^2)</f>
        <v>7.6509146215463977</v>
      </c>
      <c r="G43" s="44">
        <f>SQRT(($B21-$B$14)^2+($C21-$C$14)^2)</f>
        <v>7.6546196298999636</v>
      </c>
      <c r="H43" s="45">
        <f>SQRT(($B21-$B$15)^2+($C21-$C$15)^2)</f>
        <v>7.9726702862307706</v>
      </c>
      <c r="I43" s="11"/>
      <c r="J43" s="10">
        <f t="shared" si="1"/>
        <v>0</v>
      </c>
      <c r="K43" s="11">
        <f t="shared" si="1"/>
        <v>1</v>
      </c>
      <c r="L43" s="11">
        <f t="shared" si="1"/>
        <v>0</v>
      </c>
      <c r="M43" s="12">
        <f t="shared" si="1"/>
        <v>0</v>
      </c>
      <c r="N43" s="11"/>
      <c r="O43" s="46">
        <v>16.398</v>
      </c>
    </row>
    <row r="45" spans="1:15" x14ac:dyDescent="0.25">
      <c r="A45" s="51" t="s">
        <v>185</v>
      </c>
      <c r="B45" s="52"/>
    </row>
    <row r="46" spans="1:15" x14ac:dyDescent="0.25">
      <c r="A46" s="18">
        <f>AVERAGE(B3:B10)</f>
        <v>1063.1775</v>
      </c>
      <c r="B46" s="18">
        <f>AVERAGE(C3:C10)</f>
        <v>655.00900000000001</v>
      </c>
    </row>
    <row r="50" spans="2:3" x14ac:dyDescent="0.25">
      <c r="B50" s="2"/>
      <c r="C50" s="2"/>
    </row>
    <row r="51" spans="2:3" x14ac:dyDescent="0.25">
      <c r="B51" s="2"/>
      <c r="C51" s="2"/>
    </row>
    <row r="52" spans="2:3" x14ac:dyDescent="0.25">
      <c r="B52" s="2"/>
      <c r="C52" s="2"/>
    </row>
    <row r="53" spans="2:3" x14ac:dyDescent="0.25">
      <c r="B53" s="2"/>
      <c r="C53" s="2"/>
    </row>
  </sheetData>
  <sortState ref="A3:Q10">
    <sortCondition ref="Q3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mdExport">
          <controlPr defaultSize="0" autoLine="0" r:id="rId5">
            <anchor moveWithCells="1">
              <from>
                <xdr:col>8</xdr:col>
                <xdr:colOff>295275</xdr:colOff>
                <xdr:row>22</xdr:row>
                <xdr:rowOff>95250</xdr:rowOff>
              </from>
              <to>
                <xdr:col>13</xdr:col>
                <xdr:colOff>304800</xdr:colOff>
                <xdr:row>24</xdr:row>
                <xdr:rowOff>28575</xdr:rowOff>
              </to>
            </anchor>
          </controlPr>
        </control>
      </mc:Choice>
      <mc:Fallback>
        <control shapeId="1028" r:id="rId4" name="cmdExport"/>
      </mc:Fallback>
    </mc:AlternateContent>
    <mc:AlternateContent xmlns:mc="http://schemas.openxmlformats.org/markup-compatibility/2006">
      <mc:Choice Requires="x14">
        <control shapeId="1027" r:id="rId6" name="cmdNext">
          <controlPr autoLine="0" r:id="rId7">
            <anchor moveWithCells="1">
              <from>
                <xdr:col>11</xdr:col>
                <xdr:colOff>95250</xdr:colOff>
                <xdr:row>20</xdr:row>
                <xdr:rowOff>0</xdr:rowOff>
              </from>
              <to>
                <xdr:col>12</xdr:col>
                <xdr:colOff>400050</xdr:colOff>
                <xdr:row>21</xdr:row>
                <xdr:rowOff>114300</xdr:rowOff>
              </to>
            </anchor>
          </controlPr>
        </control>
      </mc:Choice>
      <mc:Fallback>
        <control shapeId="1027" r:id="rId6" name="cmdNext"/>
      </mc:Fallback>
    </mc:AlternateContent>
    <mc:AlternateContent xmlns:mc="http://schemas.openxmlformats.org/markup-compatibility/2006">
      <mc:Choice Requires="x14">
        <control shapeId="1026" r:id="rId8" name="cmdPrev">
          <controlPr autoLine="0" r:id="rId9">
            <anchor moveWithCells="1">
              <from>
                <xdr:col>9</xdr:col>
                <xdr:colOff>209550</xdr:colOff>
                <xdr:row>20</xdr:row>
                <xdr:rowOff>0</xdr:rowOff>
              </from>
              <to>
                <xdr:col>10</xdr:col>
                <xdr:colOff>495300</xdr:colOff>
                <xdr:row>21</xdr:row>
                <xdr:rowOff>114300</xdr:rowOff>
              </to>
            </anchor>
          </controlPr>
        </control>
      </mc:Choice>
      <mc:Fallback>
        <control shapeId="1026" r:id="rId8" name="cmdPrev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48"/>
  <sheetViews>
    <sheetView tabSelected="1" workbookViewId="0">
      <selection activeCell="L10" sqref="L10"/>
    </sheetView>
  </sheetViews>
  <sheetFormatPr defaultRowHeight="15" x14ac:dyDescent="0.25"/>
  <cols>
    <col min="1" max="1" width="12.42578125" customWidth="1"/>
    <col min="2" max="2" width="9.140625" customWidth="1"/>
    <col min="3" max="3" width="8.85546875" customWidth="1"/>
  </cols>
  <sheetData>
    <row r="1" spans="1:12" x14ac:dyDescent="0.25">
      <c r="A1" t="s">
        <v>187</v>
      </c>
      <c r="B1">
        <v>604.56735731492392</v>
      </c>
      <c r="C1">
        <v>474.37681893583084</v>
      </c>
      <c r="D1">
        <v>20.564</v>
      </c>
      <c r="E1" t="s">
        <v>50</v>
      </c>
      <c r="F1">
        <v>501</v>
      </c>
    </row>
    <row r="2" spans="1:12" x14ac:dyDescent="0.25">
      <c r="A2" t="s">
        <v>188</v>
      </c>
      <c r="B2">
        <v>604.55864892146144</v>
      </c>
      <c r="C2">
        <v>473.6278034711226</v>
      </c>
      <c r="D2">
        <v>20.562999999999999</v>
      </c>
      <c r="E2" t="s">
        <v>50</v>
      </c>
      <c r="F2">
        <v>501</v>
      </c>
      <c r="L2" t="s">
        <v>209</v>
      </c>
    </row>
    <row r="3" spans="1:12" x14ac:dyDescent="0.25">
      <c r="A3" t="s">
        <v>159</v>
      </c>
      <c r="B3">
        <v>603.80957147584627</v>
      </c>
      <c r="C3">
        <v>473.63216554679957</v>
      </c>
      <c r="D3">
        <v>20.564</v>
      </c>
      <c r="E3" t="s">
        <v>50</v>
      </c>
      <c r="F3">
        <v>501</v>
      </c>
    </row>
    <row r="4" spans="1:12" x14ac:dyDescent="0.25">
      <c r="A4" t="s">
        <v>160</v>
      </c>
      <c r="B4">
        <v>603.81729173599251</v>
      </c>
      <c r="C4">
        <v>474.38026962857236</v>
      </c>
      <c r="D4">
        <v>20.564</v>
      </c>
      <c r="E4" t="s">
        <v>50</v>
      </c>
      <c r="F4">
        <v>501</v>
      </c>
    </row>
    <row r="5" spans="1:12" x14ac:dyDescent="0.25">
      <c r="A5" t="s">
        <v>189</v>
      </c>
      <c r="B5">
        <v>607.05310178308764</v>
      </c>
      <c r="C5">
        <v>474.37406656615207</v>
      </c>
      <c r="D5">
        <v>20.56</v>
      </c>
      <c r="E5" t="s">
        <v>50</v>
      </c>
      <c r="F5">
        <v>502</v>
      </c>
    </row>
    <row r="6" spans="1:12" x14ac:dyDescent="0.25">
      <c r="A6" t="s">
        <v>162</v>
      </c>
      <c r="B6">
        <v>607.05090647606437</v>
      </c>
      <c r="C6">
        <v>473.62509238411337</v>
      </c>
      <c r="D6">
        <v>20.559000000000001</v>
      </c>
      <c r="E6" t="s">
        <v>50</v>
      </c>
      <c r="F6">
        <v>502</v>
      </c>
    </row>
    <row r="7" spans="1:12" x14ac:dyDescent="0.25">
      <c r="A7" t="s">
        <v>190</v>
      </c>
      <c r="B7">
        <v>606.29770970464381</v>
      </c>
      <c r="C7">
        <v>473.62291834234276</v>
      </c>
      <c r="D7">
        <v>20.558</v>
      </c>
      <c r="E7" t="s">
        <v>50</v>
      </c>
      <c r="F7">
        <v>502</v>
      </c>
    </row>
    <row r="8" spans="1:12" x14ac:dyDescent="0.25">
      <c r="A8" t="s">
        <v>161</v>
      </c>
      <c r="B8">
        <v>606.3031744192964</v>
      </c>
      <c r="C8">
        <v>474.37190570355659</v>
      </c>
      <c r="D8">
        <v>20.561</v>
      </c>
      <c r="E8" t="s">
        <v>50</v>
      </c>
      <c r="F8">
        <v>502</v>
      </c>
    </row>
    <row r="9" spans="1:12" x14ac:dyDescent="0.25">
      <c r="A9" t="s">
        <v>191</v>
      </c>
      <c r="B9">
        <v>604.51195372387042</v>
      </c>
      <c r="C9">
        <v>472.32886715377646</v>
      </c>
      <c r="D9">
        <v>20.562000000000001</v>
      </c>
      <c r="E9" t="s">
        <v>50</v>
      </c>
      <c r="F9">
        <v>503</v>
      </c>
    </row>
    <row r="10" spans="1:12" x14ac:dyDescent="0.25">
      <c r="A10" t="s">
        <v>192</v>
      </c>
      <c r="B10">
        <v>604.51304600542994</v>
      </c>
      <c r="C10">
        <v>471.68070007459016</v>
      </c>
      <c r="D10">
        <v>20.564</v>
      </c>
      <c r="E10" t="s">
        <v>50</v>
      </c>
      <c r="F10">
        <v>503</v>
      </c>
    </row>
    <row r="11" spans="1:12" x14ac:dyDescent="0.25">
      <c r="A11" t="s">
        <v>163</v>
      </c>
      <c r="B11">
        <v>603.85984750241857</v>
      </c>
      <c r="C11">
        <v>471.68679448122396</v>
      </c>
      <c r="D11">
        <v>20.565000000000001</v>
      </c>
      <c r="E11" t="s">
        <v>50</v>
      </c>
      <c r="F11">
        <v>503</v>
      </c>
    </row>
    <row r="12" spans="1:12" x14ac:dyDescent="0.25">
      <c r="A12" t="s">
        <v>164</v>
      </c>
      <c r="B12">
        <v>603.86104876268962</v>
      </c>
      <c r="C12">
        <v>472.33219886318363</v>
      </c>
      <c r="D12">
        <v>20.565000000000001</v>
      </c>
      <c r="E12" t="s">
        <v>50</v>
      </c>
      <c r="F12">
        <v>503</v>
      </c>
    </row>
    <row r="13" spans="1:12" x14ac:dyDescent="0.25">
      <c r="A13" t="s">
        <v>193</v>
      </c>
      <c r="B13">
        <v>607.00085915585282</v>
      </c>
      <c r="C13">
        <v>472.32095385817593</v>
      </c>
      <c r="D13">
        <v>20.562999999999999</v>
      </c>
      <c r="E13" t="s">
        <v>50</v>
      </c>
      <c r="F13">
        <v>504</v>
      </c>
    </row>
    <row r="14" spans="1:12" x14ac:dyDescent="0.25">
      <c r="A14" t="s">
        <v>165</v>
      </c>
      <c r="B14">
        <v>607.00306506758909</v>
      </c>
      <c r="C14">
        <v>471.67494472406332</v>
      </c>
      <c r="D14">
        <v>20.565000000000001</v>
      </c>
      <c r="E14" t="s">
        <v>50</v>
      </c>
      <c r="F14">
        <v>504</v>
      </c>
    </row>
    <row r="15" spans="1:12" x14ac:dyDescent="0.25">
      <c r="A15" t="s">
        <v>166</v>
      </c>
      <c r="B15">
        <v>606.34995958048489</v>
      </c>
      <c r="C15">
        <v>471.67606709128631</v>
      </c>
      <c r="D15">
        <v>20.562999999999999</v>
      </c>
      <c r="E15" t="s">
        <v>50</v>
      </c>
      <c r="F15">
        <v>504</v>
      </c>
    </row>
    <row r="16" spans="1:12" x14ac:dyDescent="0.25">
      <c r="A16" t="s">
        <v>194</v>
      </c>
      <c r="B16">
        <v>606.34894491027228</v>
      </c>
      <c r="C16">
        <v>472.32207379331686</v>
      </c>
      <c r="D16">
        <v>20.562000000000001</v>
      </c>
      <c r="E16" t="s">
        <v>50</v>
      </c>
      <c r="F16">
        <v>504</v>
      </c>
    </row>
    <row r="17" spans="1:6" x14ac:dyDescent="0.25">
      <c r="A17" t="s">
        <v>195</v>
      </c>
      <c r="B17">
        <v>606.9335957037764</v>
      </c>
      <c r="C17">
        <v>470.2506598976812</v>
      </c>
      <c r="D17">
        <v>20.565999999999999</v>
      </c>
      <c r="E17" t="s">
        <v>50</v>
      </c>
      <c r="F17">
        <v>505</v>
      </c>
    </row>
    <row r="18" spans="1:6" x14ac:dyDescent="0.25">
      <c r="A18" t="s">
        <v>167</v>
      </c>
      <c r="B18">
        <v>606.9254693517978</v>
      </c>
      <c r="C18">
        <v>469.75139838164148</v>
      </c>
      <c r="D18">
        <v>20.568000000000001</v>
      </c>
      <c r="E18" t="s">
        <v>50</v>
      </c>
      <c r="F18">
        <v>505</v>
      </c>
    </row>
    <row r="19" spans="1:6" x14ac:dyDescent="0.25">
      <c r="A19" t="s">
        <v>168</v>
      </c>
      <c r="B19">
        <v>606.42542697855038</v>
      </c>
      <c r="C19">
        <v>469.76192836054645</v>
      </c>
      <c r="D19">
        <v>20.565999999999999</v>
      </c>
      <c r="E19" t="s">
        <v>50</v>
      </c>
      <c r="F19">
        <v>505</v>
      </c>
    </row>
    <row r="20" spans="1:6" x14ac:dyDescent="0.25">
      <c r="A20" t="s">
        <v>196</v>
      </c>
      <c r="B20">
        <v>606.43351362076044</v>
      </c>
      <c r="C20">
        <v>470.25640664650928</v>
      </c>
      <c r="D20">
        <v>20.565999999999999</v>
      </c>
      <c r="E20" t="s">
        <v>50</v>
      </c>
      <c r="F20">
        <v>505</v>
      </c>
    </row>
    <row r="21" spans="1:6" x14ac:dyDescent="0.25">
      <c r="A21" t="s">
        <v>197</v>
      </c>
      <c r="B21">
        <v>604.4446396404453</v>
      </c>
      <c r="C21">
        <v>470.25890158439984</v>
      </c>
      <c r="D21">
        <v>20.565999999999999</v>
      </c>
      <c r="E21" t="s">
        <v>50</v>
      </c>
      <c r="F21">
        <v>506</v>
      </c>
    </row>
    <row r="22" spans="1:6" x14ac:dyDescent="0.25">
      <c r="A22" t="s">
        <v>170</v>
      </c>
      <c r="B22">
        <v>604.43638719759952</v>
      </c>
      <c r="C22">
        <v>469.75778882408019</v>
      </c>
      <c r="D22">
        <v>20.57</v>
      </c>
      <c r="E22" t="s">
        <v>50</v>
      </c>
      <c r="F22">
        <v>506</v>
      </c>
    </row>
    <row r="23" spans="1:6" x14ac:dyDescent="0.25">
      <c r="A23" t="s">
        <v>198</v>
      </c>
      <c r="B23">
        <v>603.93344164492805</v>
      </c>
      <c r="C23">
        <v>469.76139072586591</v>
      </c>
      <c r="D23">
        <v>20.568999999999999</v>
      </c>
      <c r="E23" t="s">
        <v>50</v>
      </c>
      <c r="F23">
        <v>506</v>
      </c>
    </row>
    <row r="24" spans="1:6" x14ac:dyDescent="0.25">
      <c r="A24" t="s">
        <v>169</v>
      </c>
      <c r="B24">
        <v>603.94146821658637</v>
      </c>
      <c r="C24">
        <v>470.2600908338062</v>
      </c>
      <c r="D24">
        <v>20.568000000000001</v>
      </c>
      <c r="E24" t="s">
        <v>50</v>
      </c>
      <c r="F24">
        <v>506</v>
      </c>
    </row>
    <row r="25" spans="1:6" x14ac:dyDescent="0.25">
      <c r="A25" t="s">
        <v>199</v>
      </c>
      <c r="B25">
        <v>605.12819045584217</v>
      </c>
      <c r="C25">
        <v>468.74384273652765</v>
      </c>
      <c r="D25">
        <v>20.571999999999999</v>
      </c>
      <c r="E25" t="s">
        <v>50</v>
      </c>
      <c r="F25">
        <v>507</v>
      </c>
    </row>
    <row r="26" spans="1:6" x14ac:dyDescent="0.25">
      <c r="A26" t="s">
        <v>171</v>
      </c>
      <c r="B26">
        <v>605.12577758111479</v>
      </c>
      <c r="C26">
        <v>468.24171372877879</v>
      </c>
      <c r="D26">
        <v>20.568999999999999</v>
      </c>
      <c r="E26" t="s">
        <v>50</v>
      </c>
      <c r="F26">
        <v>507</v>
      </c>
    </row>
    <row r="27" spans="1:6" x14ac:dyDescent="0.25">
      <c r="A27" t="s">
        <v>172</v>
      </c>
      <c r="B27">
        <v>604.62661642952651</v>
      </c>
      <c r="C27">
        <v>468.24529708234365</v>
      </c>
      <c r="D27">
        <v>20.571000000000002</v>
      </c>
      <c r="E27" t="s">
        <v>50</v>
      </c>
      <c r="F27">
        <v>507</v>
      </c>
    </row>
    <row r="28" spans="1:6" x14ac:dyDescent="0.25">
      <c r="A28" t="s">
        <v>200</v>
      </c>
      <c r="B28">
        <v>604.62807027349379</v>
      </c>
      <c r="C28">
        <v>468.74621241282398</v>
      </c>
      <c r="D28">
        <v>20.573</v>
      </c>
      <c r="E28" t="s">
        <v>50</v>
      </c>
      <c r="F28">
        <v>507</v>
      </c>
    </row>
    <row r="29" spans="1:6" x14ac:dyDescent="0.25">
      <c r="A29" t="s">
        <v>173</v>
      </c>
      <c r="B29">
        <v>607.07199895815472</v>
      </c>
      <c r="C29">
        <v>468.89688177364695</v>
      </c>
      <c r="D29">
        <v>20.550999999999998</v>
      </c>
      <c r="E29" t="s">
        <v>50</v>
      </c>
      <c r="F29">
        <v>508</v>
      </c>
    </row>
    <row r="30" spans="1:6" x14ac:dyDescent="0.25">
      <c r="A30" t="s">
        <v>174</v>
      </c>
      <c r="B30">
        <v>607.07200004342576</v>
      </c>
      <c r="C30">
        <v>468.09595181242776</v>
      </c>
      <c r="D30">
        <v>20.57</v>
      </c>
      <c r="E30" t="s">
        <v>50</v>
      </c>
      <c r="F30">
        <v>508</v>
      </c>
    </row>
    <row r="31" spans="1:6" x14ac:dyDescent="0.25">
      <c r="A31" t="s">
        <v>175</v>
      </c>
      <c r="B31">
        <v>606.27289493340163</v>
      </c>
      <c r="C31">
        <v>468.09711516242044</v>
      </c>
      <c r="D31">
        <v>20.57</v>
      </c>
      <c r="E31" t="s">
        <v>50</v>
      </c>
      <c r="F31">
        <v>508</v>
      </c>
    </row>
    <row r="32" spans="1:6" x14ac:dyDescent="0.25">
      <c r="A32" t="s">
        <v>176</v>
      </c>
      <c r="B32">
        <v>606.27300527204739</v>
      </c>
      <c r="C32">
        <v>468.9003805053041</v>
      </c>
      <c r="D32">
        <v>20.571000000000002</v>
      </c>
      <c r="E32" t="s">
        <v>50</v>
      </c>
      <c r="F32">
        <v>508</v>
      </c>
    </row>
    <row r="33" spans="1:6" x14ac:dyDescent="0.25">
      <c r="A33" t="s">
        <v>201</v>
      </c>
      <c r="B33">
        <v>608.86995891077288</v>
      </c>
      <c r="C33">
        <v>468.89583540806609</v>
      </c>
      <c r="D33">
        <v>20.568999999999999</v>
      </c>
      <c r="E33" t="s">
        <v>50</v>
      </c>
      <c r="F33">
        <v>509</v>
      </c>
    </row>
    <row r="34" spans="1:6" x14ac:dyDescent="0.25">
      <c r="A34" t="s">
        <v>178</v>
      </c>
      <c r="B34">
        <v>608.87107530931462</v>
      </c>
      <c r="C34">
        <v>468.09283146203916</v>
      </c>
      <c r="D34">
        <v>20.568999999999999</v>
      </c>
      <c r="E34" t="s">
        <v>50</v>
      </c>
      <c r="F34">
        <v>509</v>
      </c>
    </row>
    <row r="35" spans="1:6" x14ac:dyDescent="0.25">
      <c r="A35" t="s">
        <v>202</v>
      </c>
      <c r="B35">
        <v>608.07083481803318</v>
      </c>
      <c r="C35">
        <v>468.09715767093917</v>
      </c>
      <c r="D35">
        <v>20.552</v>
      </c>
      <c r="E35" t="s">
        <v>50</v>
      </c>
      <c r="F35">
        <v>509</v>
      </c>
    </row>
    <row r="36" spans="1:6" x14ac:dyDescent="0.25">
      <c r="A36" t="s">
        <v>177</v>
      </c>
      <c r="B36">
        <v>608.07205508574509</v>
      </c>
      <c r="C36">
        <v>468.89920635789713</v>
      </c>
      <c r="D36">
        <v>20.553000000000001</v>
      </c>
      <c r="E36" t="s">
        <v>50</v>
      </c>
      <c r="F36">
        <v>509</v>
      </c>
    </row>
    <row r="37" spans="1:6" x14ac:dyDescent="0.25">
      <c r="A37" t="s">
        <v>203</v>
      </c>
      <c r="B37">
        <v>608.86927803203196</v>
      </c>
      <c r="C37">
        <v>466.09479321109114</v>
      </c>
      <c r="D37">
        <v>20.568999999999999</v>
      </c>
      <c r="E37" t="s">
        <v>50</v>
      </c>
      <c r="F37">
        <v>510</v>
      </c>
    </row>
    <row r="38" spans="1:6" x14ac:dyDescent="0.25">
      <c r="A38" t="s">
        <v>180</v>
      </c>
      <c r="B38">
        <v>608.86352422164259</v>
      </c>
      <c r="C38">
        <v>465.29485357903155</v>
      </c>
      <c r="D38">
        <v>20.568999999999999</v>
      </c>
      <c r="E38" t="s">
        <v>50</v>
      </c>
      <c r="F38">
        <v>510</v>
      </c>
    </row>
    <row r="39" spans="1:6" x14ac:dyDescent="0.25">
      <c r="A39" t="s">
        <v>204</v>
      </c>
      <c r="B39">
        <v>608.06671769352897</v>
      </c>
      <c r="C39">
        <v>465.29812857503686</v>
      </c>
      <c r="D39">
        <v>20.568999999999999</v>
      </c>
      <c r="E39" t="s">
        <v>50</v>
      </c>
      <c r="F39">
        <v>510</v>
      </c>
    </row>
    <row r="40" spans="1:6" x14ac:dyDescent="0.25">
      <c r="A40" t="s">
        <v>179</v>
      </c>
      <c r="B40">
        <v>608.07012863994817</v>
      </c>
      <c r="C40">
        <v>466.100251136184</v>
      </c>
      <c r="D40">
        <v>20.568000000000001</v>
      </c>
      <c r="E40" t="s">
        <v>50</v>
      </c>
      <c r="F40">
        <v>510</v>
      </c>
    </row>
    <row r="41" spans="1:6" x14ac:dyDescent="0.25">
      <c r="A41" t="s">
        <v>205</v>
      </c>
      <c r="B41">
        <v>607.06904771430243</v>
      </c>
      <c r="C41">
        <v>466.09688961618434</v>
      </c>
      <c r="D41">
        <v>20.567</v>
      </c>
      <c r="E41" t="s">
        <v>50</v>
      </c>
      <c r="F41">
        <v>511</v>
      </c>
    </row>
    <row r="42" spans="1:6" x14ac:dyDescent="0.25">
      <c r="A42" t="s">
        <v>182</v>
      </c>
      <c r="B42">
        <v>607.06796319085731</v>
      </c>
      <c r="C42">
        <v>465.29788135227756</v>
      </c>
      <c r="D42">
        <v>20.568000000000001</v>
      </c>
      <c r="E42" t="s">
        <v>50</v>
      </c>
      <c r="F42">
        <v>511</v>
      </c>
    </row>
    <row r="43" spans="1:6" x14ac:dyDescent="0.25">
      <c r="A43" t="s">
        <v>206</v>
      </c>
      <c r="B43">
        <v>606.26769370470959</v>
      </c>
      <c r="C43">
        <v>465.30008625511857</v>
      </c>
      <c r="D43">
        <v>20.57</v>
      </c>
      <c r="E43" t="s">
        <v>50</v>
      </c>
      <c r="F43">
        <v>511</v>
      </c>
    </row>
    <row r="44" spans="1:6" x14ac:dyDescent="0.25">
      <c r="A44" t="s">
        <v>181</v>
      </c>
      <c r="B44">
        <v>606.2711384061555</v>
      </c>
      <c r="C44">
        <v>466.10014594583265</v>
      </c>
      <c r="D44">
        <v>20.568999999999999</v>
      </c>
      <c r="E44" t="s">
        <v>50</v>
      </c>
      <c r="F44">
        <v>511</v>
      </c>
    </row>
    <row r="45" spans="1:6" x14ac:dyDescent="0.25">
      <c r="A45" t="s">
        <v>207</v>
      </c>
      <c r="B45">
        <v>605.12099889781268</v>
      </c>
      <c r="C45">
        <v>465.9467945749978</v>
      </c>
      <c r="D45">
        <v>20.568000000000001</v>
      </c>
      <c r="E45" t="s">
        <v>50</v>
      </c>
      <c r="F45">
        <v>512</v>
      </c>
    </row>
    <row r="46" spans="1:6" x14ac:dyDescent="0.25">
      <c r="A46" t="s">
        <v>183</v>
      </c>
      <c r="B46">
        <v>605.12100012033227</v>
      </c>
      <c r="C46">
        <v>465.44678407412675</v>
      </c>
      <c r="D46">
        <v>20.568000000000001</v>
      </c>
      <c r="E46" t="s">
        <v>50</v>
      </c>
      <c r="F46">
        <v>512</v>
      </c>
    </row>
    <row r="47" spans="1:6" x14ac:dyDescent="0.25">
      <c r="A47" t="s">
        <v>184</v>
      </c>
      <c r="B47">
        <v>604.6221632468413</v>
      </c>
      <c r="C47">
        <v>465.44961114623499</v>
      </c>
      <c r="D47">
        <v>20.568999999999999</v>
      </c>
      <c r="E47" t="s">
        <v>50</v>
      </c>
      <c r="F47">
        <v>512</v>
      </c>
    </row>
    <row r="48" spans="1:6" x14ac:dyDescent="0.25">
      <c r="A48" t="s">
        <v>208</v>
      </c>
      <c r="B48">
        <v>604.62520144021107</v>
      </c>
      <c r="C48">
        <v>465.95018967285864</v>
      </c>
      <c r="D48">
        <v>20.568000000000001</v>
      </c>
      <c r="E48" t="s">
        <v>50</v>
      </c>
      <c r="F48">
        <v>512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mdExport">
          <controlPr autoLine="0" autoPict="0" r:id="rId4">
            <anchor moveWithCells="1">
              <from>
                <xdr:col>10</xdr:col>
                <xdr:colOff>600075</xdr:colOff>
                <xdr:row>3</xdr:row>
                <xdr:rowOff>19050</xdr:rowOff>
              </from>
              <to>
                <xdr:col>13</xdr:col>
                <xdr:colOff>590550</xdr:colOff>
                <xdr:row>5</xdr:row>
                <xdr:rowOff>9525</xdr:rowOff>
              </to>
            </anchor>
          </controlPr>
        </control>
      </mc:Choice>
      <mc:Fallback>
        <control shapeId="4097" r:id="rId3" name="cmdExpo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Import</vt:lpstr>
      <vt:lpstr>Calc Intersection</vt:lpstr>
      <vt:lpstr>Export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2015-03-28T12:10:37Z</dcterms:created>
  <dcterms:modified xsi:type="dcterms:W3CDTF">2015-07-05T13:32:20Z</dcterms:modified>
</cp:coreProperties>
</file>