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20" windowWidth="7470" windowHeight="2640" tabRatio="605" activeTab="1"/>
  </bookViews>
  <sheets>
    <sheet name="Import" sheetId="1" r:id="rId1"/>
    <sheet name="Calc Intersection" sheetId="2" r:id="rId2"/>
    <sheet name="Export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2" l="1"/>
  <c r="E20" i="2"/>
  <c r="E21" i="2"/>
  <c r="E18" i="2"/>
  <c r="A18" i="2"/>
  <c r="F18" i="2"/>
  <c r="F19" i="2" l="1"/>
  <c r="F20" i="2"/>
  <c r="F21" i="2"/>
  <c r="A35" i="2"/>
  <c r="A34" i="2"/>
  <c r="A21" i="2"/>
  <c r="A43" i="2" s="1"/>
  <c r="A20" i="2"/>
  <c r="A42" i="2" s="1"/>
  <c r="A19" i="2"/>
  <c r="A41" i="2" s="1"/>
  <c r="A40" i="2"/>
  <c r="A29" i="2" l="1"/>
  <c r="E30" i="2" s="1"/>
  <c r="A31" i="2"/>
  <c r="E34" i="2" s="1"/>
  <c r="A30" i="2"/>
  <c r="B30" i="2" s="1"/>
  <c r="A28" i="2"/>
  <c r="A32" i="2" s="1"/>
  <c r="E35" i="2" s="1"/>
  <c r="E31" i="2" l="1"/>
  <c r="H30" i="2" s="1" a="1"/>
  <c r="H31" i="2" s="1"/>
  <c r="B28" i="2"/>
  <c r="B32" i="2" s="1"/>
  <c r="K35" i="2" s="1"/>
  <c r="K31" i="2"/>
  <c r="E28" i="2"/>
  <c r="E32" i="2"/>
  <c r="H34" i="2" a="1"/>
  <c r="H34" i="2" s="1"/>
  <c r="B29" i="2"/>
  <c r="E29" i="2"/>
  <c r="E33" i="2"/>
  <c r="B31" i="2"/>
  <c r="K28" i="2" l="1"/>
  <c r="H28" i="2" a="1"/>
  <c r="H29" i="2" s="1"/>
  <c r="H32" i="2" a="1"/>
  <c r="H33" i="2" s="1"/>
  <c r="H35" i="2"/>
  <c r="I30" i="2"/>
  <c r="K32" i="2"/>
  <c r="H30" i="2"/>
  <c r="I34" i="2"/>
  <c r="K30" i="2"/>
  <c r="K29" i="2"/>
  <c r="K33" i="2"/>
  <c r="K34" i="2"/>
  <c r="I31" i="2"/>
  <c r="I35" i="2"/>
  <c r="I28" i="2" l="1"/>
  <c r="M30" i="2" a="1"/>
  <c r="M31" i="2" s="1"/>
  <c r="H28" i="2"/>
  <c r="I29" i="2"/>
  <c r="I32" i="2"/>
  <c r="H32" i="2"/>
  <c r="I33" i="2"/>
  <c r="M34" i="2" a="1"/>
  <c r="M35" i="2" s="1"/>
  <c r="M28" i="2" l="1" a="1"/>
  <c r="M28" i="2" s="1"/>
  <c r="M30" i="2"/>
  <c r="B19" i="2" s="1" a="1"/>
  <c r="B19" i="2" s="1"/>
  <c r="B41" i="2" s="1"/>
  <c r="M32" i="2" a="1"/>
  <c r="M33" i="2" s="1"/>
  <c r="M34" i="2"/>
  <c r="B21" i="2" s="1" a="1"/>
  <c r="B21" i="2" s="1"/>
  <c r="M29" i="2" l="1"/>
  <c r="B18" i="2" s="1" a="1"/>
  <c r="C19" i="2"/>
  <c r="C41" i="2" s="1"/>
  <c r="M32" i="2"/>
  <c r="B20" i="2" s="1" a="1"/>
  <c r="B20" i="2" s="1"/>
  <c r="B42" i="2" s="1"/>
  <c r="B43" i="2"/>
  <c r="C21" i="2"/>
  <c r="C43" i="2" s="1"/>
  <c r="C18" i="2" l="1"/>
  <c r="C40" i="2" s="1"/>
  <c r="B18" i="2"/>
  <c r="F41" i="2"/>
  <c r="G41" i="2"/>
  <c r="E41" i="2"/>
  <c r="H41" i="2"/>
  <c r="C20" i="2"/>
  <c r="C42" i="2" s="1"/>
  <c r="E43" i="2"/>
  <c r="F43" i="2"/>
  <c r="B40" i="2"/>
  <c r="H43" i="2"/>
  <c r="G43" i="2"/>
  <c r="J41" i="2" l="1"/>
  <c r="K41" i="2"/>
  <c r="F42" i="2"/>
  <c r="M41" i="2"/>
  <c r="L41" i="2"/>
  <c r="E42" i="2"/>
  <c r="G42" i="2"/>
  <c r="H42" i="2"/>
  <c r="J43" i="2"/>
  <c r="M43" i="2"/>
  <c r="G40" i="2"/>
  <c r="H40" i="2"/>
  <c r="L43" i="2"/>
  <c r="E40" i="2"/>
  <c r="F40" i="2"/>
  <c r="K43" i="2"/>
  <c r="L42" i="2" l="1"/>
  <c r="K42" i="2"/>
  <c r="J42" i="2"/>
  <c r="M42" i="2"/>
  <c r="J40" i="2"/>
  <c r="M40" i="2"/>
  <c r="K40" i="2"/>
  <c r="L40" i="2"/>
  <c r="O40" i="2" l="1" a="1"/>
  <c r="O40" i="2" s="1"/>
  <c r="D18" i="2" s="1"/>
  <c r="O41" i="2" l="1"/>
  <c r="D19" i="2" s="1"/>
  <c r="O42" i="2"/>
  <c r="D20" i="2" s="1"/>
  <c r="O43" i="2"/>
  <c r="D21" i="2" s="1"/>
</calcChain>
</file>

<file path=xl/sharedStrings.xml><?xml version="1.0" encoding="utf-8"?>
<sst xmlns="http://schemas.openxmlformats.org/spreadsheetml/2006/main" count="193" uniqueCount="82">
  <si>
    <t>x</t>
  </si>
  <si>
    <t>y</t>
  </si>
  <si>
    <t>COL</t>
  </si>
  <si>
    <t>CE</t>
  </si>
  <si>
    <t>#1</t>
  </si>
  <si>
    <t>x^-1</t>
  </si>
  <si>
    <t>#2</t>
  </si>
  <si>
    <t>#3</t>
  </si>
  <si>
    <t>#4</t>
  </si>
  <si>
    <t>Distance check for closest</t>
  </si>
  <si>
    <t>m (slope)</t>
  </si>
  <si>
    <t>b (const)</t>
  </si>
  <si>
    <t>Intersected Points from line equation</t>
  </si>
  <si>
    <t xml:space="preserve">y^-1 </t>
  </si>
  <si>
    <t>TPS0011</t>
  </si>
  <si>
    <t>Calculated Points</t>
  </si>
  <si>
    <t>Observed Points</t>
  </si>
  <si>
    <t>TPS0001</t>
  </si>
  <si>
    <t>TPS0002</t>
  </si>
  <si>
    <t>TPS0003</t>
  </si>
  <si>
    <t>TPS0004</t>
  </si>
  <si>
    <t>TPS0005</t>
  </si>
  <si>
    <t>TPS0006</t>
  </si>
  <si>
    <t>TPS0007</t>
  </si>
  <si>
    <t>TPS0008</t>
  </si>
  <si>
    <t>TPS0009</t>
  </si>
  <si>
    <t>TPS0010</t>
  </si>
  <si>
    <t>TPS0012</t>
  </si>
  <si>
    <t>TPS0017</t>
  </si>
  <si>
    <t>TPS0018</t>
  </si>
  <si>
    <t>TPS0019</t>
  </si>
  <si>
    <t>TPS0020</t>
  </si>
  <si>
    <t>TPS0021</t>
  </si>
  <si>
    <t>TPS0022</t>
  </si>
  <si>
    <t>TPS0023</t>
  </si>
  <si>
    <t>TPS0024</t>
  </si>
  <si>
    <t>TPS0025</t>
  </si>
  <si>
    <t>TPS0026</t>
  </si>
  <si>
    <t>TPS0027</t>
  </si>
  <si>
    <t>TPS0028</t>
  </si>
  <si>
    <t>TPS0029</t>
  </si>
  <si>
    <t>TPS0030</t>
  </si>
  <si>
    <t>TPS0031</t>
  </si>
  <si>
    <t>TPS0032</t>
  </si>
  <si>
    <t>TPS0033</t>
  </si>
  <si>
    <t>TPS0034</t>
  </si>
  <si>
    <t>TPS0035</t>
  </si>
  <si>
    <t>PC</t>
  </si>
  <si>
    <t>TPS0036</t>
  </si>
  <si>
    <t>TPS0037</t>
  </si>
  <si>
    <t>TPS0038</t>
  </si>
  <si>
    <t>TPS0039</t>
  </si>
  <si>
    <t>TPS0040</t>
  </si>
  <si>
    <t>TPS0041</t>
  </si>
  <si>
    <t>TPS0042</t>
  </si>
  <si>
    <t>TPS0043</t>
  </si>
  <si>
    <t>TPS0044</t>
  </si>
  <si>
    <t>TPS0045</t>
  </si>
  <si>
    <t>TPS0046</t>
  </si>
  <si>
    <t>TPS0047</t>
  </si>
  <si>
    <t>TPS0048</t>
  </si>
  <si>
    <t>TPS0049</t>
  </si>
  <si>
    <t>TPS0050</t>
  </si>
  <si>
    <t>TPS0051</t>
  </si>
  <si>
    <t>TPS0052</t>
  </si>
  <si>
    <t>4</t>
  </si>
  <si>
    <t>TPS0004_calc</t>
  </si>
  <si>
    <t>TPS0003_calc</t>
  </si>
  <si>
    <t>TPS0005_calc</t>
  </si>
  <si>
    <t>TPS0007_calc</t>
  </si>
  <si>
    <t>TPS0024_calc</t>
  </si>
  <si>
    <t>TPS0023_calc</t>
  </si>
  <si>
    <t>TPS0025_calc</t>
  </si>
  <si>
    <t>TPS0027_calc</t>
  </si>
  <si>
    <t>TPS0032_calc</t>
  </si>
  <si>
    <t>TPS0031_calc</t>
  </si>
  <si>
    <t>TPS0033_calc</t>
  </si>
  <si>
    <t>TPS0035_calc</t>
  </si>
  <si>
    <t>TPS0044_calc</t>
  </si>
  <si>
    <t>TPS0043_calc</t>
  </si>
  <si>
    <t>TPS0045_calc</t>
  </si>
  <si>
    <t>TPS0047_calc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</si>
</sst>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8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quotePrefix="1"/>
    <xf numFmtId="164" fontId="0" fillId="0" borderId="0" xfId="0" applyNumberFormat="1"/>
    <xf numFmtId="0" fontId="1" fillId="0" borderId="0" xfId="0" applyFont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" xfId="0" applyFill="1" applyBorder="1"/>
    <xf numFmtId="0" fontId="0" fillId="2" borderId="13" xfId="0" applyFill="1" applyBorder="1"/>
    <xf numFmtId="0" fontId="0" fillId="3" borderId="13" xfId="0" applyFill="1" applyBorder="1"/>
    <xf numFmtId="0" fontId="0" fillId="2" borderId="7" xfId="0" applyFill="1" applyBorder="1"/>
    <xf numFmtId="0" fontId="0" fillId="2" borderId="14" xfId="0" applyFill="1" applyBorder="1"/>
    <xf numFmtId="0" fontId="1" fillId="4" borderId="10" xfId="0" applyFont="1" applyFill="1" applyBorder="1"/>
    <xf numFmtId="0" fontId="1" fillId="2" borderId="5" xfId="0" applyFont="1" applyFill="1" applyBorder="1"/>
    <xf numFmtId="0" fontId="1" fillId="3" borderId="5" xfId="0" applyFont="1" applyFill="1" applyBorder="1"/>
    <xf numFmtId="0" fontId="1" fillId="4" borderId="1" xfId="0" applyFont="1" applyFill="1" applyBorder="1"/>
    <xf numFmtId="0" fontId="0" fillId="3" borderId="11" xfId="0" applyFill="1" applyBorder="1" applyAlignment="1">
      <alignment horizontal="right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1" xfId="0" applyFill="1" applyBorder="1"/>
    <xf numFmtId="0" fontId="0" fillId="4" borderId="10" xfId="0" quotePrefix="1" applyFill="1" applyBorder="1"/>
    <xf numFmtId="164" fontId="0" fillId="2" borderId="2" xfId="0" applyNumberFormat="1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0" fontId="0" fillId="2" borderId="15" xfId="0" applyFill="1" applyBorder="1"/>
    <xf numFmtId="164" fontId="0" fillId="2" borderId="5" xfId="0" applyNumberFormat="1" applyFill="1" applyBorder="1"/>
    <xf numFmtId="164" fontId="0" fillId="2" borderId="0" xfId="0" applyNumberFormat="1" applyFill="1" applyBorder="1"/>
    <xf numFmtId="164" fontId="0" fillId="2" borderId="6" xfId="0" applyNumberFormat="1" applyFill="1" applyBorder="1"/>
    <xf numFmtId="164" fontId="0" fillId="3" borderId="5" xfId="0" applyNumberFormat="1" applyFill="1" applyBorder="1"/>
    <xf numFmtId="164" fontId="0" fillId="3" borderId="0" xfId="0" applyNumberFormat="1" applyFill="1" applyBorder="1"/>
    <xf numFmtId="164" fontId="0" fillId="3" borderId="6" xfId="0" applyNumberFormat="1" applyFill="1" applyBorder="1"/>
    <xf numFmtId="164" fontId="0" fillId="3" borderId="7" xfId="0" applyNumberFormat="1" applyFill="1" applyBorder="1"/>
    <xf numFmtId="164" fontId="0" fillId="3" borderId="8" xfId="0" applyNumberFormat="1" applyFill="1" applyBorder="1"/>
    <xf numFmtId="164" fontId="0" fillId="3" borderId="9" xfId="0" applyNumberFormat="1" applyFill="1" applyBorder="1"/>
    <xf numFmtId="0" fontId="0" fillId="3" borderId="14" xfId="0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Intersected</a:t>
            </a:r>
            <a:r>
              <a:rPr lang="en-AU" baseline="0"/>
              <a:t> points</a:t>
            </a:r>
            <a:endParaRPr lang="en-AU"/>
          </a:p>
        </c:rich>
      </c:tx>
      <c:layout>
        <c:manualLayout>
          <c:xMode val="edge"/>
          <c:yMode val="edge"/>
          <c:x val="0.33727077865266841"/>
          <c:y val="3.502424968618053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Intersection'!$B$3:$B$10</c:f>
              <c:numCache>
                <c:formatCode>General</c:formatCode>
                <c:ptCount val="8"/>
                <c:pt idx="0">
                  <c:v>660.80200000000002</c:v>
                </c:pt>
                <c:pt idx="1">
                  <c:v>660.80200000000002</c:v>
                </c:pt>
                <c:pt idx="2">
                  <c:v>660.84799999999996</c:v>
                </c:pt>
                <c:pt idx="3">
                  <c:v>661.17700000000002</c:v>
                </c:pt>
                <c:pt idx="4">
                  <c:v>661.20399999999995</c:v>
                </c:pt>
                <c:pt idx="5">
                  <c:v>661.202</c:v>
                </c:pt>
                <c:pt idx="6">
                  <c:v>661.16700000000003</c:v>
                </c:pt>
                <c:pt idx="7">
                  <c:v>660.84299999999996</c:v>
                </c:pt>
              </c:numCache>
            </c:numRef>
          </c:xVal>
          <c:yVal>
            <c:numRef>
              <c:f>'Calc Intersection'!$C$3:$C$10</c:f>
              <c:numCache>
                <c:formatCode>General</c:formatCode>
                <c:ptCount val="8"/>
                <c:pt idx="0">
                  <c:v>419.726</c:v>
                </c:pt>
                <c:pt idx="1">
                  <c:v>420.05500000000001</c:v>
                </c:pt>
                <c:pt idx="2">
                  <c:v>420.09199999999998</c:v>
                </c:pt>
                <c:pt idx="3">
                  <c:v>420.09100000000001</c:v>
                </c:pt>
                <c:pt idx="4">
                  <c:v>420.02600000000001</c:v>
                </c:pt>
                <c:pt idx="5">
                  <c:v>419.745</c:v>
                </c:pt>
                <c:pt idx="6">
                  <c:v>419.69200000000001</c:v>
                </c:pt>
                <c:pt idx="7">
                  <c:v>419.69299999999998</c:v>
                </c:pt>
              </c:numCache>
            </c:numRef>
          </c:yVal>
          <c:smooth val="0"/>
        </c:ser>
        <c:ser>
          <c:idx val="1"/>
          <c:order val="1"/>
          <c:tx>
            <c:v>intersect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'Calc Intersection'!$B$18:$B$21</c:f>
              <c:numCache>
                <c:formatCode>0.000</c:formatCode>
                <c:ptCount val="4"/>
                <c:pt idx="0">
                  <c:v>660.80211128858275</c:v>
                </c:pt>
                <c:pt idx="1">
                  <c:v>661.20443894008372</c:v>
                </c:pt>
                <c:pt idx="2">
                  <c:v>661.20174091177773</c:v>
                </c:pt>
                <c:pt idx="3">
                  <c:v>660.80199000818311</c:v>
                </c:pt>
              </c:numCache>
            </c:numRef>
          </c:xVal>
          <c:yVal>
            <c:numRef>
              <c:f>'Calc Intersection'!$C$18:$C$21</c:f>
              <c:numCache>
                <c:formatCode>0.000</c:formatCode>
                <c:ptCount val="4"/>
                <c:pt idx="0">
                  <c:v>420.09213943698398</c:v>
                </c:pt>
                <c:pt idx="1">
                  <c:v>420.09091692816753</c:v>
                </c:pt>
                <c:pt idx="2">
                  <c:v>419.69189274185931</c:v>
                </c:pt>
                <c:pt idx="3">
                  <c:v>419.69312692186412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'Calc Intersection'!$D$11:$D$14</c:f>
              <c:strCache>
                <c:ptCount val="1"/>
                <c:pt idx="0">
                  <c:v>20.602 20.604 20.602 20.6</c:v>
                </c:pt>
              </c:strCache>
            </c:strRef>
          </c:tx>
          <c:spPr>
            <a:ln w="19050">
              <a:noFill/>
            </a:ln>
          </c:spPr>
          <c:xVal>
            <c:numRef>
              <c:f>'Calc Intersection'!$B$11:$B$14</c:f>
              <c:numCache>
                <c:formatCode>General</c:formatCode>
                <c:ptCount val="4"/>
                <c:pt idx="0">
                  <c:v>660.87199999999996</c:v>
                </c:pt>
                <c:pt idx="1">
                  <c:v>661.15599999999995</c:v>
                </c:pt>
                <c:pt idx="2">
                  <c:v>661.14200000000005</c:v>
                </c:pt>
                <c:pt idx="3">
                  <c:v>660.86099999999999</c:v>
                </c:pt>
              </c:numCache>
            </c:numRef>
          </c:xVal>
          <c:yVal>
            <c:numRef>
              <c:f>'Calc Intersection'!$C$11:$C$14</c:f>
              <c:numCache>
                <c:formatCode>General</c:formatCode>
                <c:ptCount val="4"/>
                <c:pt idx="0">
                  <c:v>420.02100000000002</c:v>
                </c:pt>
                <c:pt idx="1">
                  <c:v>420.02100000000002</c:v>
                </c:pt>
                <c:pt idx="2">
                  <c:v>419.76400000000001</c:v>
                </c:pt>
                <c:pt idx="3">
                  <c:v>419.74200000000002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87936"/>
        <c:axId val="117815552"/>
      </c:scatterChart>
      <c:valAx>
        <c:axId val="13368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15552"/>
        <c:crosses val="autoZero"/>
        <c:crossBetween val="midCat"/>
      </c:valAx>
      <c:valAx>
        <c:axId val="1178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8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172010</xdr:colOff>
          <xdr:row>8</xdr:row>
          <xdr:rowOff>161925</xdr:rowOff>
        </xdr:from>
        <xdr:to>
          <xdr:col>8</xdr:col>
          <xdr:colOff>581585</xdr:colOff>
          <xdr:row>20</xdr:row>
          <xdr:rowOff>38100</xdr:rowOff>
        </xdr:to>
        <xdr:sp macro="" textlink="">
          <xdr:nvSpPr>
            <xdr:cNvPr id="2055" name="lstFN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28</xdr:row>
          <xdr:rowOff>161925</xdr:rowOff>
        </xdr:from>
        <xdr:to>
          <xdr:col>9</xdr:col>
          <xdr:colOff>495301</xdr:colOff>
          <xdr:row>30</xdr:row>
          <xdr:rowOff>114300</xdr:rowOff>
        </xdr:to>
        <xdr:sp macro="" textlink="">
          <xdr:nvSpPr>
            <xdr:cNvPr id="2056" name="cmdUpdateLB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13</xdr:col>
          <xdr:colOff>0</xdr:colOff>
          <xdr:row>32</xdr:row>
          <xdr:rowOff>180975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Group Box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30</xdr:row>
          <xdr:rowOff>180975</xdr:rowOff>
        </xdr:from>
        <xdr:to>
          <xdr:col>12</xdr:col>
          <xdr:colOff>552449</xdr:colOff>
          <xdr:row>32</xdr:row>
          <xdr:rowOff>104775</xdr:rowOff>
        </xdr:to>
        <xdr:sp macro="" textlink="">
          <xdr:nvSpPr>
            <xdr:cNvPr id="2058" name="cmdImport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31</xdr:row>
          <xdr:rowOff>38100</xdr:rowOff>
        </xdr:from>
        <xdr:to>
          <xdr:col>9</xdr:col>
          <xdr:colOff>485776</xdr:colOff>
          <xdr:row>32</xdr:row>
          <xdr:rowOff>142875</xdr:rowOff>
        </xdr:to>
        <xdr:sp macro="" textlink="">
          <xdr:nvSpPr>
            <xdr:cNvPr id="2059" name="cmdCalculate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35</xdr:row>
          <xdr:rowOff>180975</xdr:rowOff>
        </xdr:from>
        <xdr:to>
          <xdr:col>9</xdr:col>
          <xdr:colOff>485776</xdr:colOff>
          <xdr:row>37</xdr:row>
          <xdr:rowOff>104775</xdr:rowOff>
        </xdr:to>
        <xdr:sp macro="" textlink="">
          <xdr:nvSpPr>
            <xdr:cNvPr id="2060" name="cmdPrev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35</xdr:row>
          <xdr:rowOff>180975</xdr:rowOff>
        </xdr:from>
        <xdr:to>
          <xdr:col>11</xdr:col>
          <xdr:colOff>466726</xdr:colOff>
          <xdr:row>37</xdr:row>
          <xdr:rowOff>104775</xdr:rowOff>
        </xdr:to>
        <xdr:sp macro="" textlink="">
          <xdr:nvSpPr>
            <xdr:cNvPr id="2061" name="cmdNex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195262</xdr:colOff>
      <xdr:row>0</xdr:row>
      <xdr:rowOff>185737</xdr:rowOff>
    </xdr:from>
    <xdr:to>
      <xdr:col>14</xdr:col>
      <xdr:colOff>538162</xdr:colOff>
      <xdr:row>19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20</xdr:row>
          <xdr:rowOff>0</xdr:rowOff>
        </xdr:from>
        <xdr:to>
          <xdr:col>10</xdr:col>
          <xdr:colOff>495300</xdr:colOff>
          <xdr:row>21</xdr:row>
          <xdr:rowOff>114300</xdr:rowOff>
        </xdr:to>
        <xdr:sp macro="" textlink="">
          <xdr:nvSpPr>
            <xdr:cNvPr id="1026" name="cmdPrev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20</xdr:row>
          <xdr:rowOff>0</xdr:rowOff>
        </xdr:from>
        <xdr:to>
          <xdr:col>12</xdr:col>
          <xdr:colOff>400050</xdr:colOff>
          <xdr:row>21</xdr:row>
          <xdr:rowOff>114300</xdr:rowOff>
        </xdr:to>
        <xdr:sp macro="" textlink="">
          <xdr:nvSpPr>
            <xdr:cNvPr id="1027" name="cmdNex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22</xdr:row>
          <xdr:rowOff>95250</xdr:rowOff>
        </xdr:from>
        <xdr:to>
          <xdr:col>13</xdr:col>
          <xdr:colOff>304800</xdr:colOff>
          <xdr:row>24</xdr:row>
          <xdr:rowOff>28575</xdr:rowOff>
        </xdr:to>
        <xdr:sp macro="" textlink="">
          <xdr:nvSpPr>
            <xdr:cNvPr id="1028" name="cmdExpor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PX48"/>
  <sheetViews>
    <sheetView zoomScale="85" zoomScaleNormal="85" workbookViewId="0">
      <selection activeCell="D31" sqref="D31"/>
    </sheetView>
  </sheetViews>
  <sheetFormatPr defaultRowHeight="15" x14ac:dyDescent="0.25"/>
  <cols>
    <col min="1" max="3" width="8.140625" customWidth="1"/>
    <col min="4" max="4" width="7.140625" customWidth="1"/>
    <col min="5" max="5" width="4.42578125" bestFit="1" customWidth="1"/>
    <col min="6" max="6" width="2.140625" customWidth="1"/>
    <col min="10" max="10" width="18" bestFit="1" customWidth="1"/>
    <col min="13" max="13" width="9.140625" customWidth="1"/>
    <col min="15" max="15" width="8.5703125" customWidth="1"/>
    <col min="16" max="16" width="9.28515625" bestFit="1" customWidth="1"/>
    <col min="17" max="17" width="8.140625" customWidth="1"/>
    <col min="18" max="18" width="7.140625" customWidth="1"/>
    <col min="19" max="19" width="4.42578125" customWidth="1"/>
    <col min="20" max="20" width="3.140625" bestFit="1" customWidth="1"/>
    <col min="22" max="22" width="8.5703125" bestFit="1" customWidth="1"/>
    <col min="23" max="23" width="9.28515625" bestFit="1" customWidth="1"/>
    <col min="24" max="24" width="8.140625" bestFit="1" customWidth="1"/>
    <col min="25" max="25" width="7.140625" bestFit="1" customWidth="1"/>
    <col min="26" max="26" width="4.42578125" bestFit="1" customWidth="1"/>
    <col min="27" max="27" width="2.140625" bestFit="1" customWidth="1"/>
  </cols>
  <sheetData>
    <row r="1" spans="1:20 13955:13960" x14ac:dyDescent="0.25">
      <c r="A1" t="s">
        <v>17</v>
      </c>
      <c r="B1">
        <v>659.53800000000001</v>
      </c>
      <c r="C1">
        <v>412.51</v>
      </c>
      <c r="D1">
        <v>20.58</v>
      </c>
      <c r="E1" t="s">
        <v>3</v>
      </c>
      <c r="F1">
        <v>1</v>
      </c>
      <c r="O1" t="s">
        <v>53</v>
      </c>
      <c r="P1">
        <v>660.80200000000002</v>
      </c>
      <c r="Q1">
        <v>419.726</v>
      </c>
      <c r="R1">
        <v>20.581</v>
      </c>
      <c r="S1" t="s">
        <v>3</v>
      </c>
      <c r="T1">
        <v>4</v>
      </c>
    </row>
    <row r="2" spans="1:20 13955:13960" x14ac:dyDescent="0.25">
      <c r="A2" t="s">
        <v>18</v>
      </c>
      <c r="B2">
        <v>659.61500000000001</v>
      </c>
      <c r="C2">
        <v>412.57</v>
      </c>
      <c r="D2">
        <v>20.581</v>
      </c>
      <c r="E2" t="s">
        <v>3</v>
      </c>
      <c r="F2">
        <v>1</v>
      </c>
      <c r="O2" t="s">
        <v>54</v>
      </c>
      <c r="P2">
        <v>660.80200000000002</v>
      </c>
      <c r="Q2">
        <v>420.05500000000001</v>
      </c>
      <c r="R2">
        <v>20.582999999999998</v>
      </c>
      <c r="S2" t="s">
        <v>3</v>
      </c>
      <c r="T2">
        <v>4</v>
      </c>
    </row>
    <row r="3" spans="1:20 13955:13960" x14ac:dyDescent="0.25">
      <c r="A3" t="s">
        <v>19</v>
      </c>
      <c r="B3">
        <v>659.87400000000002</v>
      </c>
      <c r="C3">
        <v>412.57100000000003</v>
      </c>
      <c r="D3">
        <v>20.582000000000001</v>
      </c>
      <c r="E3" t="s">
        <v>3</v>
      </c>
      <c r="F3">
        <v>1</v>
      </c>
      <c r="O3" t="s">
        <v>55</v>
      </c>
      <c r="P3">
        <v>660.84799999999996</v>
      </c>
      <c r="Q3">
        <v>420.09199999999998</v>
      </c>
      <c r="R3">
        <v>20.585999999999999</v>
      </c>
      <c r="S3" t="s">
        <v>3</v>
      </c>
      <c r="T3">
        <v>4</v>
      </c>
    </row>
    <row r="4" spans="1:20 13955:13960" x14ac:dyDescent="0.25">
      <c r="A4" t="s">
        <v>20</v>
      </c>
      <c r="B4">
        <v>659.94</v>
      </c>
      <c r="C4">
        <v>412.51299999999998</v>
      </c>
      <c r="D4">
        <v>20.577999999999999</v>
      </c>
      <c r="E4" t="s">
        <v>3</v>
      </c>
      <c r="F4">
        <v>1</v>
      </c>
      <c r="O4" t="s">
        <v>56</v>
      </c>
      <c r="P4">
        <v>661.17700000000002</v>
      </c>
      <c r="Q4">
        <v>420.09100000000001</v>
      </c>
      <c r="R4">
        <v>20.59</v>
      </c>
      <c r="S4" t="s">
        <v>3</v>
      </c>
      <c r="T4">
        <v>4</v>
      </c>
    </row>
    <row r="5" spans="1:20 13955:13960" x14ac:dyDescent="0.25">
      <c r="A5" t="s">
        <v>21</v>
      </c>
      <c r="B5">
        <v>659.93799999999999</v>
      </c>
      <c r="C5">
        <v>412.20400000000001</v>
      </c>
      <c r="D5">
        <v>20.58</v>
      </c>
      <c r="E5" t="s">
        <v>3</v>
      </c>
      <c r="F5">
        <v>1</v>
      </c>
      <c r="J5" s="1"/>
      <c r="O5" t="s">
        <v>57</v>
      </c>
      <c r="P5">
        <v>661.20399999999995</v>
      </c>
      <c r="Q5">
        <v>420.02600000000001</v>
      </c>
      <c r="R5">
        <v>20.588999999999999</v>
      </c>
      <c r="S5" t="s">
        <v>3</v>
      </c>
      <c r="T5">
        <v>4</v>
      </c>
    </row>
    <row r="6" spans="1:20 13955:13960" x14ac:dyDescent="0.25">
      <c r="A6" t="s">
        <v>22</v>
      </c>
      <c r="B6">
        <v>659.9</v>
      </c>
      <c r="C6">
        <v>412.17599999999999</v>
      </c>
      <c r="D6">
        <v>20.582000000000001</v>
      </c>
      <c r="E6" t="s">
        <v>3</v>
      </c>
      <c r="F6">
        <v>1</v>
      </c>
      <c r="O6" t="s">
        <v>58</v>
      </c>
      <c r="P6">
        <v>661.202</v>
      </c>
      <c r="Q6">
        <v>419.745</v>
      </c>
      <c r="R6">
        <v>20.591000000000001</v>
      </c>
      <c r="S6" t="s">
        <v>3</v>
      </c>
      <c r="T6">
        <v>4</v>
      </c>
    </row>
    <row r="7" spans="1:20 13955:13960" x14ac:dyDescent="0.25">
      <c r="A7" t="s">
        <v>23</v>
      </c>
      <c r="B7">
        <v>659.58100000000002</v>
      </c>
      <c r="C7">
        <v>412.173</v>
      </c>
      <c r="D7">
        <v>20.582000000000001</v>
      </c>
      <c r="E7" t="s">
        <v>3</v>
      </c>
      <c r="F7">
        <v>1</v>
      </c>
      <c r="H7" s="47"/>
      <c r="I7" s="47"/>
      <c r="J7" s="47"/>
      <c r="K7" s="47"/>
      <c r="L7" s="47"/>
      <c r="M7" s="48" t="s">
        <v>65</v>
      </c>
      <c r="O7" t="s">
        <v>59</v>
      </c>
      <c r="P7">
        <v>661.16700000000003</v>
      </c>
      <c r="Q7">
        <v>419.69200000000001</v>
      </c>
      <c r="R7">
        <v>20.588000000000001</v>
      </c>
      <c r="S7" t="s">
        <v>3</v>
      </c>
      <c r="T7">
        <v>4</v>
      </c>
    </row>
    <row r="8" spans="1:20 13955:13960" x14ac:dyDescent="0.25">
      <c r="A8" t="s">
        <v>24</v>
      </c>
      <c r="B8">
        <v>659.53700000000003</v>
      </c>
      <c r="C8">
        <v>412.20100000000002</v>
      </c>
      <c r="D8">
        <v>20.58</v>
      </c>
      <c r="E8" t="s">
        <v>3</v>
      </c>
      <c r="F8">
        <v>1</v>
      </c>
      <c r="H8" s="47"/>
      <c r="I8" s="47"/>
      <c r="J8" s="47"/>
      <c r="K8" s="47"/>
      <c r="L8" s="47"/>
      <c r="M8" s="48">
        <v>48</v>
      </c>
      <c r="O8" t="s">
        <v>60</v>
      </c>
      <c r="P8">
        <v>660.84299999999996</v>
      </c>
      <c r="Q8">
        <v>419.69299999999998</v>
      </c>
      <c r="R8">
        <v>20.585000000000001</v>
      </c>
      <c r="S8" t="s">
        <v>3</v>
      </c>
      <c r="T8">
        <v>4</v>
      </c>
    </row>
    <row r="9" spans="1:20 13955:13960" x14ac:dyDescent="0.25">
      <c r="A9" t="s">
        <v>25</v>
      </c>
      <c r="B9">
        <v>659.57899999999995</v>
      </c>
      <c r="C9">
        <v>412.22800000000001</v>
      </c>
      <c r="D9">
        <v>20.599</v>
      </c>
      <c r="E9" t="s">
        <v>2</v>
      </c>
      <c r="F9">
        <v>1</v>
      </c>
      <c r="H9" s="47"/>
      <c r="I9" s="47"/>
      <c r="J9" s="47"/>
      <c r="K9" s="47"/>
      <c r="L9" s="47"/>
      <c r="M9" s="47"/>
      <c r="O9" t="s">
        <v>61</v>
      </c>
      <c r="P9">
        <v>660.87199999999996</v>
      </c>
      <c r="Q9">
        <v>420.02100000000002</v>
      </c>
      <c r="R9">
        <v>20.602</v>
      </c>
      <c r="S9" t="s">
        <v>2</v>
      </c>
      <c r="T9">
        <v>4</v>
      </c>
    </row>
    <row r="10" spans="1:20 13955:13960" x14ac:dyDescent="0.25">
      <c r="A10" t="s">
        <v>26</v>
      </c>
      <c r="B10">
        <v>659.58699999999999</v>
      </c>
      <c r="C10">
        <v>412.51400000000001</v>
      </c>
      <c r="D10">
        <v>20.597999999999999</v>
      </c>
      <c r="E10" t="s">
        <v>2</v>
      </c>
      <c r="F10">
        <v>1</v>
      </c>
      <c r="H10" s="47"/>
      <c r="I10" s="47"/>
      <c r="J10" s="47"/>
      <c r="K10" s="47"/>
      <c r="L10" s="47"/>
      <c r="M10" s="47"/>
      <c r="O10" t="s">
        <v>62</v>
      </c>
      <c r="P10">
        <v>661.15599999999995</v>
      </c>
      <c r="Q10">
        <v>420.02100000000002</v>
      </c>
      <c r="R10">
        <v>20.603999999999999</v>
      </c>
      <c r="S10" t="s">
        <v>2</v>
      </c>
      <c r="T10">
        <v>4</v>
      </c>
    </row>
    <row r="11" spans="1:20 13955:13960" x14ac:dyDescent="0.25">
      <c r="A11" t="s">
        <v>14</v>
      </c>
      <c r="B11">
        <v>659.89400000000001</v>
      </c>
      <c r="C11">
        <v>412.50799999999998</v>
      </c>
      <c r="D11">
        <v>20.597000000000001</v>
      </c>
      <c r="E11" t="s">
        <v>2</v>
      </c>
      <c r="F11">
        <v>1</v>
      </c>
      <c r="H11" s="47"/>
      <c r="I11" s="47"/>
      <c r="J11" s="47"/>
      <c r="K11" s="47"/>
      <c r="L11" s="47"/>
      <c r="M11" s="47"/>
      <c r="O11" t="s">
        <v>63</v>
      </c>
      <c r="P11">
        <v>661.14200000000005</v>
      </c>
      <c r="Q11">
        <v>419.76400000000001</v>
      </c>
      <c r="R11">
        <v>20.602</v>
      </c>
      <c r="S11" t="s">
        <v>2</v>
      </c>
      <c r="T11">
        <v>4</v>
      </c>
      <c r="TPS11" t="s">
        <v>14</v>
      </c>
      <c r="TPT11">
        <v>1043.6300000000001</v>
      </c>
      <c r="TPU11">
        <v>650.01800000000003</v>
      </c>
      <c r="TPV11">
        <v>16.273</v>
      </c>
      <c r="TPW11" t="s">
        <v>2</v>
      </c>
      <c r="TPX11">
        <v>1</v>
      </c>
    </row>
    <row r="12" spans="1:20 13955:13960" x14ac:dyDescent="0.25">
      <c r="A12" t="s">
        <v>27</v>
      </c>
      <c r="B12">
        <v>659.88800000000003</v>
      </c>
      <c r="C12">
        <v>412.23</v>
      </c>
      <c r="D12">
        <v>20.599</v>
      </c>
      <c r="E12" t="s">
        <v>2</v>
      </c>
      <c r="F12">
        <v>1</v>
      </c>
      <c r="H12" s="47"/>
      <c r="I12" s="47"/>
      <c r="J12" s="47"/>
      <c r="K12" s="47"/>
      <c r="L12" s="47"/>
      <c r="M12" s="47"/>
      <c r="O12" t="s">
        <v>64</v>
      </c>
      <c r="P12">
        <v>660.86099999999999</v>
      </c>
      <c r="Q12">
        <v>419.74200000000002</v>
      </c>
      <c r="R12">
        <v>20.6</v>
      </c>
      <c r="S12" t="s">
        <v>2</v>
      </c>
      <c r="T12">
        <v>4</v>
      </c>
    </row>
    <row r="13" spans="1:20 13955:13960" x14ac:dyDescent="0.25">
      <c r="A13" t="s">
        <v>28</v>
      </c>
      <c r="B13">
        <v>657.46</v>
      </c>
      <c r="C13">
        <v>418.43400000000003</v>
      </c>
      <c r="D13">
        <v>20.696999999999999</v>
      </c>
      <c r="E13" t="s">
        <v>2</v>
      </c>
      <c r="F13">
        <v>2</v>
      </c>
      <c r="H13" s="47"/>
      <c r="I13" s="47"/>
      <c r="J13" s="47"/>
      <c r="K13" s="47"/>
      <c r="L13" s="47"/>
      <c r="M13" s="47"/>
    </row>
    <row r="14" spans="1:20 13955:13960" x14ac:dyDescent="0.25">
      <c r="A14" t="s">
        <v>29</v>
      </c>
      <c r="B14">
        <v>657.46199999999999</v>
      </c>
      <c r="C14">
        <v>418.75200000000001</v>
      </c>
      <c r="D14">
        <v>20.695</v>
      </c>
      <c r="E14" t="s">
        <v>2</v>
      </c>
      <c r="F14">
        <v>2</v>
      </c>
      <c r="H14" s="47"/>
      <c r="I14" s="47"/>
      <c r="J14" s="47"/>
      <c r="K14" s="47"/>
      <c r="L14" s="47"/>
      <c r="M14" s="47"/>
    </row>
    <row r="15" spans="1:20 13955:13960" x14ac:dyDescent="0.25">
      <c r="A15" t="s">
        <v>30</v>
      </c>
      <c r="B15">
        <v>657.774</v>
      </c>
      <c r="C15">
        <v>418.75900000000001</v>
      </c>
      <c r="D15">
        <v>20.695</v>
      </c>
      <c r="E15" t="s">
        <v>2</v>
      </c>
      <c r="F15">
        <v>2</v>
      </c>
      <c r="H15" s="47"/>
      <c r="I15" s="47"/>
      <c r="J15" s="47"/>
      <c r="K15" s="47"/>
      <c r="L15" s="47"/>
      <c r="M15" s="47"/>
    </row>
    <row r="16" spans="1:20 13955:13960" x14ac:dyDescent="0.25">
      <c r="A16" t="s">
        <v>31</v>
      </c>
      <c r="B16">
        <v>657.77</v>
      </c>
      <c r="C16">
        <v>418.43799999999999</v>
      </c>
      <c r="D16">
        <v>20.696000000000002</v>
      </c>
      <c r="E16" t="s">
        <v>2</v>
      </c>
      <c r="F16">
        <v>2</v>
      </c>
      <c r="H16" s="47"/>
      <c r="I16" s="47"/>
      <c r="J16" s="47"/>
      <c r="K16" s="47"/>
      <c r="L16" s="47"/>
      <c r="M16" s="47"/>
    </row>
    <row r="17" spans="1:13" x14ac:dyDescent="0.25">
      <c r="A17" t="s">
        <v>32</v>
      </c>
      <c r="B17">
        <v>657.41399999999999</v>
      </c>
      <c r="C17">
        <v>418.76</v>
      </c>
      <c r="D17">
        <v>20.677</v>
      </c>
      <c r="E17" t="s">
        <v>3</v>
      </c>
      <c r="F17">
        <v>2</v>
      </c>
      <c r="H17" s="47"/>
      <c r="I17" s="47"/>
      <c r="J17" s="47"/>
      <c r="K17" s="47"/>
      <c r="L17" s="47"/>
      <c r="M17" s="47"/>
    </row>
    <row r="18" spans="1:13" x14ac:dyDescent="0.25">
      <c r="A18" t="s">
        <v>33</v>
      </c>
      <c r="B18">
        <v>657.46799999999996</v>
      </c>
      <c r="C18">
        <v>418.79700000000003</v>
      </c>
      <c r="D18">
        <v>20.678000000000001</v>
      </c>
      <c r="E18" t="s">
        <v>3</v>
      </c>
      <c r="F18">
        <v>2</v>
      </c>
      <c r="H18" s="47"/>
      <c r="I18" s="47"/>
      <c r="J18" s="47"/>
      <c r="K18" s="47"/>
      <c r="L18" s="47"/>
      <c r="M18" s="47"/>
    </row>
    <row r="19" spans="1:13" x14ac:dyDescent="0.25">
      <c r="A19" t="s">
        <v>34</v>
      </c>
      <c r="B19">
        <v>657.77099999999996</v>
      </c>
      <c r="C19">
        <v>418.80099999999999</v>
      </c>
      <c r="D19">
        <v>20.678000000000001</v>
      </c>
      <c r="E19" t="s">
        <v>3</v>
      </c>
      <c r="F19">
        <v>2</v>
      </c>
      <c r="H19" s="47"/>
      <c r="I19" s="47"/>
      <c r="J19" s="47"/>
      <c r="K19" s="47"/>
      <c r="L19" s="47"/>
      <c r="M19" s="47"/>
    </row>
    <row r="20" spans="1:13" x14ac:dyDescent="0.25">
      <c r="A20" t="s">
        <v>35</v>
      </c>
      <c r="B20">
        <v>657.81299999999999</v>
      </c>
      <c r="C20">
        <v>418.762</v>
      </c>
      <c r="D20">
        <v>20.675999999999998</v>
      </c>
      <c r="E20" t="s">
        <v>3</v>
      </c>
      <c r="F20">
        <v>2</v>
      </c>
      <c r="H20" s="47"/>
      <c r="I20" s="47"/>
      <c r="J20" s="47"/>
      <c r="K20" s="47"/>
      <c r="L20" s="47"/>
      <c r="M20" s="47"/>
    </row>
    <row r="21" spans="1:13" x14ac:dyDescent="0.25">
      <c r="A21" t="s">
        <v>36</v>
      </c>
      <c r="B21">
        <v>657.81500000000005</v>
      </c>
      <c r="C21">
        <v>418.44799999999998</v>
      </c>
      <c r="D21">
        <v>20.68</v>
      </c>
      <c r="E21" t="s">
        <v>3</v>
      </c>
      <c r="F21">
        <v>2</v>
      </c>
      <c r="H21" s="47"/>
      <c r="I21" s="47"/>
      <c r="J21" s="47"/>
      <c r="K21" s="47"/>
      <c r="L21" s="47"/>
      <c r="M21" s="47"/>
    </row>
    <row r="22" spans="1:13" x14ac:dyDescent="0.25">
      <c r="A22" t="s">
        <v>37</v>
      </c>
      <c r="B22">
        <v>657.77499999999998</v>
      </c>
      <c r="C22">
        <v>418.399</v>
      </c>
      <c r="D22">
        <v>20.68</v>
      </c>
      <c r="E22" t="s">
        <v>3</v>
      </c>
      <c r="F22">
        <v>2</v>
      </c>
      <c r="H22" s="47"/>
      <c r="I22" s="47"/>
      <c r="J22" s="47"/>
      <c r="K22" s="47"/>
      <c r="L22" s="47"/>
      <c r="M22" s="47"/>
    </row>
    <row r="23" spans="1:13" x14ac:dyDescent="0.25">
      <c r="A23" t="s">
        <v>38</v>
      </c>
      <c r="B23">
        <v>657.45299999999997</v>
      </c>
      <c r="C23">
        <v>418.399</v>
      </c>
      <c r="D23">
        <v>20.68</v>
      </c>
      <c r="E23" t="s">
        <v>3</v>
      </c>
      <c r="F23">
        <v>2</v>
      </c>
      <c r="H23" s="47"/>
      <c r="I23" s="47"/>
      <c r="J23" s="47"/>
      <c r="K23" s="47"/>
      <c r="L23" s="47"/>
      <c r="M23" s="47"/>
    </row>
    <row r="24" spans="1:13" x14ac:dyDescent="0.25">
      <c r="A24" t="s">
        <v>39</v>
      </c>
      <c r="B24">
        <v>657.41800000000001</v>
      </c>
      <c r="C24">
        <v>418.43799999999999</v>
      </c>
      <c r="D24">
        <v>20.68</v>
      </c>
      <c r="E24" t="s">
        <v>3</v>
      </c>
      <c r="F24">
        <v>2</v>
      </c>
    </row>
    <row r="25" spans="1:13" x14ac:dyDescent="0.25">
      <c r="A25" t="s">
        <v>40</v>
      </c>
      <c r="B25">
        <v>660.846</v>
      </c>
      <c r="C25">
        <v>416.20100000000002</v>
      </c>
      <c r="D25">
        <v>20.582999999999998</v>
      </c>
      <c r="E25" t="s">
        <v>3</v>
      </c>
      <c r="F25">
        <v>3</v>
      </c>
    </row>
    <row r="26" spans="1:13" x14ac:dyDescent="0.25">
      <c r="A26" t="s">
        <v>41</v>
      </c>
      <c r="B26">
        <v>660.80200000000002</v>
      </c>
      <c r="C26">
        <v>416.24700000000001</v>
      </c>
      <c r="D26">
        <v>20.582000000000001</v>
      </c>
      <c r="E26" t="s">
        <v>3</v>
      </c>
      <c r="F26">
        <v>3</v>
      </c>
    </row>
    <row r="27" spans="1:13" x14ac:dyDescent="0.25">
      <c r="A27" t="s">
        <v>42</v>
      </c>
      <c r="B27">
        <v>660.79899999999998</v>
      </c>
      <c r="C27">
        <v>416.56099999999998</v>
      </c>
      <c r="D27">
        <v>20.58</v>
      </c>
      <c r="E27" t="s">
        <v>3</v>
      </c>
      <c r="F27">
        <v>3</v>
      </c>
    </row>
    <row r="28" spans="1:13" x14ac:dyDescent="0.25">
      <c r="A28" t="s">
        <v>43</v>
      </c>
      <c r="B28">
        <v>660.85299999999995</v>
      </c>
      <c r="C28">
        <v>416.59399999999999</v>
      </c>
      <c r="D28">
        <v>20.587</v>
      </c>
      <c r="E28" t="s">
        <v>3</v>
      </c>
      <c r="F28">
        <v>3</v>
      </c>
    </row>
    <row r="29" spans="1:13" x14ac:dyDescent="0.25">
      <c r="A29" t="s">
        <v>44</v>
      </c>
      <c r="B29">
        <v>661.15599999999995</v>
      </c>
      <c r="C29">
        <v>416.59800000000001</v>
      </c>
      <c r="D29">
        <v>20.587</v>
      </c>
      <c r="E29" t="s">
        <v>3</v>
      </c>
      <c r="F29">
        <v>3</v>
      </c>
    </row>
    <row r="30" spans="1:13" x14ac:dyDescent="0.25">
      <c r="A30" t="s">
        <v>45</v>
      </c>
      <c r="B30">
        <v>661.19799999999998</v>
      </c>
      <c r="C30">
        <v>416.536</v>
      </c>
      <c r="D30">
        <v>20.585999999999999</v>
      </c>
      <c r="E30" t="s">
        <v>3</v>
      </c>
      <c r="F30">
        <v>3</v>
      </c>
    </row>
    <row r="31" spans="1:13" x14ac:dyDescent="0.25">
      <c r="A31" t="s">
        <v>46</v>
      </c>
      <c r="B31">
        <v>661.2</v>
      </c>
      <c r="C31">
        <v>416.286</v>
      </c>
      <c r="D31">
        <v>20.585000000000001</v>
      </c>
      <c r="E31" t="s">
        <v>3</v>
      </c>
      <c r="F31">
        <v>3</v>
      </c>
    </row>
    <row r="32" spans="1:13" x14ac:dyDescent="0.25">
      <c r="A32" t="s">
        <v>48</v>
      </c>
      <c r="B32">
        <v>661.15700000000004</v>
      </c>
      <c r="C32">
        <v>416.2</v>
      </c>
      <c r="D32">
        <v>20.585000000000001</v>
      </c>
      <c r="E32" t="s">
        <v>3</v>
      </c>
      <c r="F32">
        <v>3</v>
      </c>
    </row>
    <row r="33" spans="1:6" x14ac:dyDescent="0.25">
      <c r="A33" t="s">
        <v>49</v>
      </c>
      <c r="B33">
        <v>661.12300000000005</v>
      </c>
      <c r="C33">
        <v>416.53</v>
      </c>
      <c r="D33">
        <v>20.600999999999999</v>
      </c>
      <c r="E33" t="s">
        <v>2</v>
      </c>
      <c r="F33">
        <v>3</v>
      </c>
    </row>
    <row r="34" spans="1:6" x14ac:dyDescent="0.25">
      <c r="A34" t="s">
        <v>50</v>
      </c>
      <c r="B34">
        <v>661.15099999999995</v>
      </c>
      <c r="C34">
        <v>416.25700000000001</v>
      </c>
      <c r="D34">
        <v>20.600999999999999</v>
      </c>
      <c r="E34" t="s">
        <v>2</v>
      </c>
      <c r="F34">
        <v>3</v>
      </c>
    </row>
    <row r="35" spans="1:6" x14ac:dyDescent="0.25">
      <c r="A35" t="s">
        <v>51</v>
      </c>
      <c r="B35">
        <v>660.85900000000004</v>
      </c>
      <c r="C35">
        <v>416.26900000000001</v>
      </c>
      <c r="D35">
        <v>20.597999999999999</v>
      </c>
      <c r="E35" t="s">
        <v>2</v>
      </c>
      <c r="F35">
        <v>3</v>
      </c>
    </row>
    <row r="36" spans="1:6" x14ac:dyDescent="0.25">
      <c r="A36" t="s">
        <v>52</v>
      </c>
      <c r="B36">
        <v>660.85400000000004</v>
      </c>
      <c r="C36">
        <v>416.53300000000002</v>
      </c>
      <c r="D36">
        <v>20.597999999999999</v>
      </c>
      <c r="E36" t="s">
        <v>2</v>
      </c>
      <c r="F36">
        <v>3</v>
      </c>
    </row>
    <row r="37" spans="1:6" x14ac:dyDescent="0.25">
      <c r="A37" t="s">
        <v>53</v>
      </c>
      <c r="B37">
        <v>660.80200000000002</v>
      </c>
      <c r="C37">
        <v>419.726</v>
      </c>
      <c r="D37">
        <v>20.581</v>
      </c>
      <c r="E37" t="s">
        <v>3</v>
      </c>
      <c r="F37">
        <v>4</v>
      </c>
    </row>
    <row r="38" spans="1:6" x14ac:dyDescent="0.25">
      <c r="A38" t="s">
        <v>54</v>
      </c>
      <c r="B38">
        <v>660.80200000000002</v>
      </c>
      <c r="C38">
        <v>420.05500000000001</v>
      </c>
      <c r="D38">
        <v>20.582999999999998</v>
      </c>
      <c r="E38" t="s">
        <v>3</v>
      </c>
      <c r="F38">
        <v>4</v>
      </c>
    </row>
    <row r="39" spans="1:6" x14ac:dyDescent="0.25">
      <c r="A39" t="s">
        <v>55</v>
      </c>
      <c r="B39">
        <v>660.84799999999996</v>
      </c>
      <c r="C39">
        <v>420.09199999999998</v>
      </c>
      <c r="D39">
        <v>20.585999999999999</v>
      </c>
      <c r="E39" t="s">
        <v>3</v>
      </c>
      <c r="F39">
        <v>4</v>
      </c>
    </row>
    <row r="40" spans="1:6" x14ac:dyDescent="0.25">
      <c r="A40" t="s">
        <v>56</v>
      </c>
      <c r="B40">
        <v>661.17700000000002</v>
      </c>
      <c r="C40">
        <v>420.09100000000001</v>
      </c>
      <c r="D40">
        <v>20.59</v>
      </c>
      <c r="E40" t="s">
        <v>3</v>
      </c>
      <c r="F40">
        <v>4</v>
      </c>
    </row>
    <row r="41" spans="1:6" x14ac:dyDescent="0.25">
      <c r="A41" t="s">
        <v>57</v>
      </c>
      <c r="B41">
        <v>661.20399999999995</v>
      </c>
      <c r="C41">
        <v>420.02600000000001</v>
      </c>
      <c r="D41">
        <v>20.588999999999999</v>
      </c>
      <c r="E41" t="s">
        <v>3</v>
      </c>
      <c r="F41">
        <v>4</v>
      </c>
    </row>
    <row r="42" spans="1:6" x14ac:dyDescent="0.25">
      <c r="A42" t="s">
        <v>58</v>
      </c>
      <c r="B42">
        <v>661.202</v>
      </c>
      <c r="C42">
        <v>419.745</v>
      </c>
      <c r="D42">
        <v>20.591000000000001</v>
      </c>
      <c r="E42" t="s">
        <v>3</v>
      </c>
      <c r="F42">
        <v>4</v>
      </c>
    </row>
    <row r="43" spans="1:6" x14ac:dyDescent="0.25">
      <c r="A43" t="s">
        <v>59</v>
      </c>
      <c r="B43">
        <v>661.16700000000003</v>
      </c>
      <c r="C43">
        <v>419.69200000000001</v>
      </c>
      <c r="D43">
        <v>20.588000000000001</v>
      </c>
      <c r="E43" t="s">
        <v>3</v>
      </c>
      <c r="F43">
        <v>4</v>
      </c>
    </row>
    <row r="44" spans="1:6" x14ac:dyDescent="0.25">
      <c r="A44" t="s">
        <v>60</v>
      </c>
      <c r="B44">
        <v>660.84299999999996</v>
      </c>
      <c r="C44">
        <v>419.69299999999998</v>
      </c>
      <c r="D44">
        <v>20.585000000000001</v>
      </c>
      <c r="E44" t="s">
        <v>3</v>
      </c>
      <c r="F44">
        <v>4</v>
      </c>
    </row>
    <row r="45" spans="1:6" x14ac:dyDescent="0.25">
      <c r="A45" t="s">
        <v>61</v>
      </c>
      <c r="B45">
        <v>660.87199999999996</v>
      </c>
      <c r="C45">
        <v>420.02100000000002</v>
      </c>
      <c r="D45">
        <v>20.602</v>
      </c>
      <c r="E45" t="s">
        <v>2</v>
      </c>
      <c r="F45">
        <v>4</v>
      </c>
    </row>
    <row r="46" spans="1:6" x14ac:dyDescent="0.25">
      <c r="A46" t="s">
        <v>62</v>
      </c>
      <c r="B46">
        <v>661.15599999999995</v>
      </c>
      <c r="C46">
        <v>420.02100000000002</v>
      </c>
      <c r="D46">
        <v>20.603999999999999</v>
      </c>
      <c r="E46" t="s">
        <v>2</v>
      </c>
      <c r="F46">
        <v>4</v>
      </c>
    </row>
    <row r="47" spans="1:6" x14ac:dyDescent="0.25">
      <c r="A47" t="s">
        <v>63</v>
      </c>
      <c r="B47">
        <v>661.14200000000005</v>
      </c>
      <c r="C47">
        <v>419.76400000000001</v>
      </c>
      <c r="D47">
        <v>20.602</v>
      </c>
      <c r="E47" t="s">
        <v>2</v>
      </c>
      <c r="F47">
        <v>4</v>
      </c>
    </row>
    <row r="48" spans="1:6" x14ac:dyDescent="0.25">
      <c r="A48" t="s">
        <v>64</v>
      </c>
      <c r="B48">
        <v>660.86099999999999</v>
      </c>
      <c r="C48">
        <v>419.74200000000002</v>
      </c>
      <c r="D48">
        <v>20.6</v>
      </c>
      <c r="E48" t="s">
        <v>2</v>
      </c>
      <c r="F48">
        <v>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mdNext">
          <controlPr autoLine="0" r:id="rId5">
            <anchor moveWithCells="1">
              <from>
                <xdr:col>10</xdr:col>
                <xdr:colOff>161925</xdr:colOff>
                <xdr:row>35</xdr:row>
                <xdr:rowOff>180975</xdr:rowOff>
              </from>
              <to>
                <xdr:col>11</xdr:col>
                <xdr:colOff>466725</xdr:colOff>
                <xdr:row>37</xdr:row>
                <xdr:rowOff>104775</xdr:rowOff>
              </to>
            </anchor>
          </controlPr>
        </control>
      </mc:Choice>
      <mc:Fallback>
        <control shapeId="2061" r:id="rId4" name="cmdNext"/>
      </mc:Fallback>
    </mc:AlternateContent>
    <mc:AlternateContent xmlns:mc="http://schemas.openxmlformats.org/markup-compatibility/2006">
      <mc:Choice Requires="x14">
        <control shapeId="2060" r:id="rId6" name="cmdPrev">
          <controlPr autoLine="0" r:id="rId7">
            <anchor moveWithCells="1">
              <from>
                <xdr:col>8</xdr:col>
                <xdr:colOff>180975</xdr:colOff>
                <xdr:row>35</xdr:row>
                <xdr:rowOff>180975</xdr:rowOff>
              </from>
              <to>
                <xdr:col>9</xdr:col>
                <xdr:colOff>485775</xdr:colOff>
                <xdr:row>37</xdr:row>
                <xdr:rowOff>104775</xdr:rowOff>
              </to>
            </anchor>
          </controlPr>
        </control>
      </mc:Choice>
      <mc:Fallback>
        <control shapeId="2060" r:id="rId6" name="cmdPrev"/>
      </mc:Fallback>
    </mc:AlternateContent>
    <mc:AlternateContent xmlns:mc="http://schemas.openxmlformats.org/markup-compatibility/2006">
      <mc:Choice Requires="x14">
        <control shapeId="2059" r:id="rId8" name="cmdCalculate">
          <controlPr autoLine="0" r:id="rId9">
            <anchor moveWithCells="1">
              <from>
                <xdr:col>8</xdr:col>
                <xdr:colOff>19050</xdr:colOff>
                <xdr:row>31</xdr:row>
                <xdr:rowOff>38100</xdr:rowOff>
              </from>
              <to>
                <xdr:col>9</xdr:col>
                <xdr:colOff>485775</xdr:colOff>
                <xdr:row>32</xdr:row>
                <xdr:rowOff>142875</xdr:rowOff>
              </to>
            </anchor>
          </controlPr>
        </control>
      </mc:Choice>
      <mc:Fallback>
        <control shapeId="2059" r:id="rId8" name="cmdCalculate"/>
      </mc:Fallback>
    </mc:AlternateContent>
    <mc:AlternateContent xmlns:mc="http://schemas.openxmlformats.org/markup-compatibility/2006">
      <mc:Choice Requires="x14">
        <control shapeId="2058" r:id="rId10" name="cmdImport">
          <controlPr autoLine="0" r:id="rId11">
            <anchor moveWithCells="1">
              <from>
                <xdr:col>11</xdr:col>
                <xdr:colOff>66675</xdr:colOff>
                <xdr:row>30</xdr:row>
                <xdr:rowOff>180975</xdr:rowOff>
              </from>
              <to>
                <xdr:col>12</xdr:col>
                <xdr:colOff>552450</xdr:colOff>
                <xdr:row>32</xdr:row>
                <xdr:rowOff>104775</xdr:rowOff>
              </to>
            </anchor>
          </controlPr>
        </control>
      </mc:Choice>
      <mc:Fallback>
        <control shapeId="2058" r:id="rId10" name="cmdImport"/>
      </mc:Fallback>
    </mc:AlternateContent>
    <mc:AlternateContent xmlns:mc="http://schemas.openxmlformats.org/markup-compatibility/2006">
      <mc:Choice Requires="x14">
        <control shapeId="2056" r:id="rId12" name="cmdUpdateLB">
          <controlPr autoLine="0" r:id="rId13">
            <anchor moveWithCells="1">
              <from>
                <xdr:col>8</xdr:col>
                <xdr:colOff>19050</xdr:colOff>
                <xdr:row>28</xdr:row>
                <xdr:rowOff>161925</xdr:rowOff>
              </from>
              <to>
                <xdr:col>9</xdr:col>
                <xdr:colOff>495300</xdr:colOff>
                <xdr:row>30</xdr:row>
                <xdr:rowOff>114300</xdr:rowOff>
              </to>
            </anchor>
          </controlPr>
        </control>
      </mc:Choice>
      <mc:Fallback>
        <control shapeId="2056" r:id="rId12" name="cmdUpdateLB"/>
      </mc:Fallback>
    </mc:AlternateContent>
    <mc:AlternateContent xmlns:mc="http://schemas.openxmlformats.org/markup-compatibility/2006">
      <mc:Choice Requires="x14">
        <control shapeId="2055" r:id="rId14" name="lstFND">
          <controlPr autoLine="0" linkedCell="M7" r:id="rId15">
            <anchor moveWithCells="1">
              <from>
                <xdr:col>8</xdr:col>
                <xdr:colOff>171450</xdr:colOff>
                <xdr:row>8</xdr:row>
                <xdr:rowOff>161925</xdr:rowOff>
              </from>
              <to>
                <xdr:col>8</xdr:col>
                <xdr:colOff>581025</xdr:colOff>
                <xdr:row>20</xdr:row>
                <xdr:rowOff>38100</xdr:rowOff>
              </to>
            </anchor>
          </controlPr>
        </control>
      </mc:Choice>
      <mc:Fallback>
        <control shapeId="2055" r:id="rId14" name="lstFND"/>
      </mc:Fallback>
    </mc:AlternateContent>
    <mc:AlternateContent xmlns:mc="http://schemas.openxmlformats.org/markup-compatibility/2006">
      <mc:Choice Requires="x14">
        <control shapeId="2057" r:id="rId16" name="Group Box 9">
          <controlPr defaultSize="0" autoFill="0" autoPict="0">
            <anchor moveWithCells="1">
              <from>
                <xdr:col>7</xdr:col>
                <xdr:colOff>9525</xdr:colOff>
                <xdr:row>6</xdr:row>
                <xdr:rowOff>0</xdr:rowOff>
              </from>
              <to>
                <xdr:col>13</xdr:col>
                <xdr:colOff>0</xdr:colOff>
                <xdr:row>32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O53"/>
  <sheetViews>
    <sheetView tabSelected="1" workbookViewId="0">
      <selection activeCell="S14" sqref="S14"/>
    </sheetView>
  </sheetViews>
  <sheetFormatPr defaultRowHeight="15" x14ac:dyDescent="0.25"/>
  <cols>
    <col min="1" max="1" width="12.42578125" bestFit="1" customWidth="1"/>
    <col min="2" max="3" width="9.5703125" bestFit="1" customWidth="1"/>
    <col min="6" max="6" width="9.7109375" customWidth="1"/>
    <col min="10" max="10" width="9.42578125" bestFit="1" customWidth="1"/>
  </cols>
  <sheetData>
    <row r="2" spans="1:13" x14ac:dyDescent="0.25">
      <c r="A2" s="3" t="s">
        <v>16</v>
      </c>
    </row>
    <row r="3" spans="1:13" x14ac:dyDescent="0.25">
      <c r="A3" t="s">
        <v>53</v>
      </c>
      <c r="B3">
        <v>660.80200000000002</v>
      </c>
      <c r="C3">
        <v>419.726</v>
      </c>
      <c r="D3">
        <v>20.581</v>
      </c>
      <c r="E3" t="s">
        <v>3</v>
      </c>
      <c r="F3">
        <v>4</v>
      </c>
    </row>
    <row r="4" spans="1:13" x14ac:dyDescent="0.25">
      <c r="A4" t="s">
        <v>54</v>
      </c>
      <c r="B4">
        <v>660.80200000000002</v>
      </c>
      <c r="C4">
        <v>420.05500000000001</v>
      </c>
      <c r="D4">
        <v>20.582999999999998</v>
      </c>
      <c r="E4" t="s">
        <v>3</v>
      </c>
      <c r="F4">
        <v>4</v>
      </c>
    </row>
    <row r="5" spans="1:13" x14ac:dyDescent="0.25">
      <c r="A5" t="s">
        <v>55</v>
      </c>
      <c r="B5">
        <v>660.84799999999996</v>
      </c>
      <c r="C5">
        <v>420.09199999999998</v>
      </c>
      <c r="D5">
        <v>20.585999999999999</v>
      </c>
      <c r="E5" t="s">
        <v>3</v>
      </c>
      <c r="F5">
        <v>4</v>
      </c>
    </row>
    <row r="6" spans="1:13" x14ac:dyDescent="0.25">
      <c r="A6" t="s">
        <v>56</v>
      </c>
      <c r="B6">
        <v>661.17700000000002</v>
      </c>
      <c r="C6">
        <v>420.09100000000001</v>
      </c>
      <c r="D6">
        <v>20.59</v>
      </c>
      <c r="E6" t="s">
        <v>3</v>
      </c>
      <c r="F6">
        <v>4</v>
      </c>
    </row>
    <row r="7" spans="1:13" x14ac:dyDescent="0.25">
      <c r="A7" t="s">
        <v>57</v>
      </c>
      <c r="B7">
        <v>661.20399999999995</v>
      </c>
      <c r="C7">
        <v>420.02600000000001</v>
      </c>
      <c r="D7">
        <v>20.588999999999999</v>
      </c>
      <c r="E7" t="s">
        <v>3</v>
      </c>
      <c r="F7">
        <v>4</v>
      </c>
    </row>
    <row r="8" spans="1:13" x14ac:dyDescent="0.25">
      <c r="A8" t="s">
        <v>58</v>
      </c>
      <c r="B8">
        <v>661.202</v>
      </c>
      <c r="C8">
        <v>419.745</v>
      </c>
      <c r="D8">
        <v>20.591000000000001</v>
      </c>
      <c r="E8" t="s">
        <v>3</v>
      </c>
      <c r="F8">
        <v>4</v>
      </c>
      <c r="M8">
        <v>96</v>
      </c>
    </row>
    <row r="9" spans="1:13" x14ac:dyDescent="0.25">
      <c r="A9" t="s">
        <v>59</v>
      </c>
      <c r="B9">
        <v>661.16700000000003</v>
      </c>
      <c r="C9">
        <v>419.69200000000001</v>
      </c>
      <c r="D9">
        <v>20.588000000000001</v>
      </c>
      <c r="E9" t="s">
        <v>3</v>
      </c>
      <c r="F9">
        <v>4</v>
      </c>
    </row>
    <row r="10" spans="1:13" x14ac:dyDescent="0.25">
      <c r="A10" t="s">
        <v>60</v>
      </c>
      <c r="B10">
        <v>660.84299999999996</v>
      </c>
      <c r="C10">
        <v>419.69299999999998</v>
      </c>
      <c r="D10">
        <v>20.585000000000001</v>
      </c>
      <c r="E10" t="s">
        <v>3</v>
      </c>
      <c r="F10">
        <v>4</v>
      </c>
    </row>
    <row r="11" spans="1:13" x14ac:dyDescent="0.25">
      <c r="A11" t="s">
        <v>61</v>
      </c>
      <c r="B11">
        <v>660.87199999999996</v>
      </c>
      <c r="C11">
        <v>420.02100000000002</v>
      </c>
      <c r="D11">
        <v>20.602</v>
      </c>
      <c r="E11" t="s">
        <v>2</v>
      </c>
      <c r="F11">
        <v>4</v>
      </c>
    </row>
    <row r="12" spans="1:13" x14ac:dyDescent="0.25">
      <c r="A12" t="s">
        <v>62</v>
      </c>
      <c r="B12">
        <v>661.15599999999995</v>
      </c>
      <c r="C12">
        <v>420.02100000000002</v>
      </c>
      <c r="D12">
        <v>20.603999999999999</v>
      </c>
      <c r="E12" t="s">
        <v>2</v>
      </c>
      <c r="F12">
        <v>4</v>
      </c>
    </row>
    <row r="13" spans="1:13" x14ac:dyDescent="0.25">
      <c r="A13" t="s">
        <v>63</v>
      </c>
      <c r="B13">
        <v>661.14200000000005</v>
      </c>
      <c r="C13">
        <v>419.76400000000001</v>
      </c>
      <c r="D13">
        <v>20.602</v>
      </c>
      <c r="E13" t="s">
        <v>2</v>
      </c>
      <c r="F13">
        <v>4</v>
      </c>
    </row>
    <row r="14" spans="1:13" x14ac:dyDescent="0.25">
      <c r="A14" t="s">
        <v>64</v>
      </c>
      <c r="B14">
        <v>660.86099999999999</v>
      </c>
      <c r="C14">
        <v>419.74200000000002</v>
      </c>
      <c r="D14">
        <v>20.6</v>
      </c>
      <c r="E14" t="s">
        <v>2</v>
      </c>
      <c r="F14">
        <v>4</v>
      </c>
    </row>
    <row r="17" spans="1:13" x14ac:dyDescent="0.25">
      <c r="A17" s="3" t="s">
        <v>15</v>
      </c>
    </row>
    <row r="18" spans="1:13" x14ac:dyDescent="0.25">
      <c r="A18" t="str">
        <f>A6&amp;"_calc"</f>
        <v>TPS0044_calc</v>
      </c>
      <c r="B18" s="2">
        <f t="array" ref="B18:C18">TRANSPOSE(M28:M29)</f>
        <v>660.80211128858275</v>
      </c>
      <c r="C18" s="2">
        <v>420.09213943698398</v>
      </c>
      <c r="D18">
        <f>O40</f>
        <v>20.602</v>
      </c>
      <c r="E18" t="str">
        <f>IF(E3="CE","PC","PE")</f>
        <v>PC</v>
      </c>
      <c r="F18">
        <f t="shared" ref="F18:F21" si="0">500+$F$3</f>
        <v>504</v>
      </c>
    </row>
    <row r="19" spans="1:13" x14ac:dyDescent="0.25">
      <c r="A19" t="str">
        <f>A5&amp;"_calc"</f>
        <v>TPS0043_calc</v>
      </c>
      <c r="B19" s="2">
        <f t="array" ref="B19:C19">TRANSPOSE(M30:M31)</f>
        <v>661.20443894008372</v>
      </c>
      <c r="C19" s="2">
        <v>420.09091692816753</v>
      </c>
      <c r="D19">
        <f>O41</f>
        <v>20.603999999999999</v>
      </c>
      <c r="E19" t="str">
        <f t="shared" ref="E19:E21" si="1">IF(E4="CE","PC","PE")</f>
        <v>PC</v>
      </c>
      <c r="F19">
        <f t="shared" si="0"/>
        <v>504</v>
      </c>
    </row>
    <row r="20" spans="1:13" x14ac:dyDescent="0.25">
      <c r="A20" t="str">
        <f>A7&amp;"_calc"</f>
        <v>TPS0045_calc</v>
      </c>
      <c r="B20" s="2">
        <f t="array" ref="B20:C20">TRANSPOSE(M32:M33)</f>
        <v>661.20174091177773</v>
      </c>
      <c r="C20" s="2">
        <v>419.69189274185931</v>
      </c>
      <c r="D20">
        <f>O42</f>
        <v>20.602</v>
      </c>
      <c r="E20" s="49" t="str">
        <f t="shared" si="1"/>
        <v>PC</v>
      </c>
      <c r="F20">
        <f t="shared" si="0"/>
        <v>504</v>
      </c>
    </row>
    <row r="21" spans="1:13" x14ac:dyDescent="0.25">
      <c r="A21" t="str">
        <f>A9&amp;"_calc"</f>
        <v>TPS0047_calc</v>
      </c>
      <c r="B21" s="2">
        <f t="array" ref="B21:C21">TRANSPOSE(M34:M35)</f>
        <v>660.80199000818311</v>
      </c>
      <c r="C21" s="2">
        <v>419.69312692186412</v>
      </c>
      <c r="D21">
        <f>O43</f>
        <v>20.6</v>
      </c>
      <c r="E21" t="str">
        <f t="shared" si="1"/>
        <v>PC</v>
      </c>
      <c r="F21">
        <f t="shared" si="0"/>
        <v>504</v>
      </c>
    </row>
    <row r="26" spans="1:13" x14ac:dyDescent="0.25">
      <c r="D26" s="23" t="s">
        <v>12</v>
      </c>
      <c r="E26" s="16"/>
      <c r="F26" s="16"/>
      <c r="G26" s="16"/>
      <c r="H26" s="16"/>
      <c r="I26" s="16"/>
      <c r="J26" s="16"/>
      <c r="K26" s="16"/>
      <c r="L26" s="16"/>
      <c r="M26" s="17"/>
    </row>
    <row r="27" spans="1:13" x14ac:dyDescent="0.25">
      <c r="A27" s="23" t="s">
        <v>10</v>
      </c>
      <c r="B27" s="26" t="s">
        <v>11</v>
      </c>
      <c r="D27" s="13"/>
      <c r="E27" s="27" t="s">
        <v>0</v>
      </c>
      <c r="F27" s="27" t="s">
        <v>1</v>
      </c>
      <c r="G27" s="14"/>
      <c r="H27" s="27" t="s">
        <v>5</v>
      </c>
      <c r="I27" s="27" t="s">
        <v>13</v>
      </c>
      <c r="J27" s="14"/>
      <c r="K27" s="14"/>
      <c r="L27" s="14"/>
      <c r="M27" s="15"/>
    </row>
    <row r="28" spans="1:13" x14ac:dyDescent="0.25">
      <c r="A28" s="4">
        <f>IF($A$34&gt;$A$35,(C4-C3)/(B4-B3+0.0001),(C3-C10)/(B3-B10+0.0001))</f>
        <v>3290.0000000000773</v>
      </c>
      <c r="B28" s="19">
        <f>A28*B3-C3</f>
        <v>2173618.8540000515</v>
      </c>
      <c r="D28" s="24" t="s">
        <v>4</v>
      </c>
      <c r="E28" s="18">
        <f>A28</f>
        <v>3290.0000000000773</v>
      </c>
      <c r="F28" s="18">
        <v>-1</v>
      </c>
      <c r="G28" s="5"/>
      <c r="H28" s="5">
        <f t="array" ref="H28:I29">MINVERSE(E28:F29)</f>
        <v>3.0395108705690401E-4</v>
      </c>
      <c r="I28" s="5">
        <v>-3.0395108705690406E-4</v>
      </c>
      <c r="J28" s="5"/>
      <c r="K28" s="5">
        <f>B28</f>
        <v>2173618.8540000515</v>
      </c>
      <c r="L28" s="5"/>
      <c r="M28" s="6">
        <f t="array" ref="M28:M29">MMULT(H28:I29,K28:K29)</f>
        <v>660.80211128858275</v>
      </c>
    </row>
    <row r="29" spans="1:13" x14ac:dyDescent="0.25">
      <c r="A29" s="7">
        <f>IF($A$34&gt;$A$35,(C6-C5)/(B6-B5+0.0001),(C5-C4)/(B5-B4+0.000001))</f>
        <v>-3.0385900941238436E-3</v>
      </c>
      <c r="B29" s="20">
        <f>A29*B5-C5</f>
        <v>-422.10004618652152</v>
      </c>
      <c r="D29" s="24"/>
      <c r="E29" s="18">
        <f>A29</f>
        <v>-3.0385900941238436E-3</v>
      </c>
      <c r="F29" s="18">
        <v>-1</v>
      </c>
      <c r="G29" s="5"/>
      <c r="H29" s="5">
        <v>-9.2358276222928269E-7</v>
      </c>
      <c r="I29" s="5">
        <v>-0.99999907641723784</v>
      </c>
      <c r="J29" s="5"/>
      <c r="K29" s="5">
        <f>B29</f>
        <v>-422.10004618652152</v>
      </c>
      <c r="L29" s="5"/>
      <c r="M29" s="6">
        <v>420.09213943698398</v>
      </c>
    </row>
    <row r="30" spans="1:13" x14ac:dyDescent="0.25">
      <c r="A30" s="4">
        <f>IF($A$34&gt;$A$35,IFERROR((C8-C7)/(B8-B7+0.0001),(C8-C7)/(B8-B7+0.0001)),(C7-C6)/(B7-B6+0.0001))</f>
        <v>147.89473684578968</v>
      </c>
      <c r="B30" s="19">
        <f>A30*B7-C7</f>
        <v>97368.565581383518</v>
      </c>
      <c r="D30" s="25" t="s">
        <v>6</v>
      </c>
      <c r="E30" s="31">
        <f>A29</f>
        <v>-3.0385900941238436E-3</v>
      </c>
      <c r="F30" s="31">
        <v>-1</v>
      </c>
      <c r="G30" s="8"/>
      <c r="H30" s="8">
        <f t="array" ref="H30:I31">MINVERSE(E30:F31)</f>
        <v>-6.7614269183752327E-3</v>
      </c>
      <c r="I30" s="8">
        <v>6.7614269183752327E-3</v>
      </c>
      <c r="J30" s="8"/>
      <c r="K30" s="8">
        <f>B29</f>
        <v>-422.10004618652152</v>
      </c>
      <c r="L30" s="8"/>
      <c r="M30" s="9">
        <f t="array" ref="M30:M31">MMULT(H30:I31,K30:K31)</f>
        <v>661.20443894008372</v>
      </c>
    </row>
    <row r="31" spans="1:13" x14ac:dyDescent="0.25">
      <c r="A31" s="7">
        <f>IF($A$34&gt;$A$35,(C10-C9)/(B10-B9+0.0001),(C9-C8)/(B9-B8+0.0001))</f>
        <v>-3.087372645804692E-3</v>
      </c>
      <c r="B31" s="20">
        <f>A31*B9-C9</f>
        <v>-421.73326891010873</v>
      </c>
      <c r="D31" s="25"/>
      <c r="E31" s="31">
        <f>A30</f>
        <v>147.89473684578968</v>
      </c>
      <c r="F31" s="31">
        <v>-1</v>
      </c>
      <c r="G31" s="8"/>
      <c r="H31" s="8">
        <v>-0.99997945479514372</v>
      </c>
      <c r="I31" s="8">
        <v>-2.0545204856317291E-5</v>
      </c>
      <c r="J31" s="8"/>
      <c r="K31" s="8">
        <f>B30</f>
        <v>97368.565581383518</v>
      </c>
      <c r="L31" s="8"/>
      <c r="M31" s="9">
        <v>420.09091692816753</v>
      </c>
    </row>
    <row r="32" spans="1:13" x14ac:dyDescent="0.25">
      <c r="A32" s="21">
        <f>A28</f>
        <v>3290.0000000000773</v>
      </c>
      <c r="B32" s="22">
        <f>B28</f>
        <v>2173618.8540000515</v>
      </c>
      <c r="D32" s="24" t="s">
        <v>7</v>
      </c>
      <c r="E32" s="18">
        <f>A30</f>
        <v>147.89473684578968</v>
      </c>
      <c r="F32" s="18">
        <v>-1</v>
      </c>
      <c r="G32" s="5"/>
      <c r="H32" s="5">
        <f t="array" ref="H32:I33">MINVERSE(E32:F33)</f>
        <v>6.7614246881892255E-3</v>
      </c>
      <c r="I32" s="5">
        <v>-6.7614246881892255E-3</v>
      </c>
      <c r="J32" s="5"/>
      <c r="K32" s="5">
        <f>B30</f>
        <v>97368.565581383518</v>
      </c>
      <c r="L32" s="5"/>
      <c r="M32" s="6">
        <f t="array" ref="M32:M33">MMULT(H32:I33,K32:K33)</f>
        <v>661.20174091177773</v>
      </c>
    </row>
    <row r="33" spans="1:15" x14ac:dyDescent="0.25">
      <c r="D33" s="24"/>
      <c r="E33" s="18">
        <f>A31</f>
        <v>-3.087372645804692E-3</v>
      </c>
      <c r="F33" s="18">
        <v>-1</v>
      </c>
      <c r="G33" s="5"/>
      <c r="H33" s="5">
        <v>-2.0875037628983933E-5</v>
      </c>
      <c r="I33" s="5">
        <v>-0.99997912496237107</v>
      </c>
      <c r="J33" s="5"/>
      <c r="K33" s="5">
        <f>B31</f>
        <v>-421.73326891010873</v>
      </c>
      <c r="L33" s="5"/>
      <c r="M33" s="6">
        <v>419.69189274185931</v>
      </c>
    </row>
    <row r="34" spans="1:15" x14ac:dyDescent="0.25">
      <c r="A34">
        <f>SQRT((B4-B3)^2+(C4-C3)^2)</f>
        <v>0.32900000000000773</v>
      </c>
      <c r="D34" s="25" t="s">
        <v>8</v>
      </c>
      <c r="E34" s="31">
        <f>A31</f>
        <v>-3.087372645804692E-3</v>
      </c>
      <c r="F34" s="31">
        <v>-1</v>
      </c>
      <c r="G34" s="8"/>
      <c r="H34" s="8">
        <f t="array" ref="H34:I35">MINVERSE(E34:F35)</f>
        <v>-3.0395108255006645E-4</v>
      </c>
      <c r="I34" s="8">
        <v>3.0395108255006645E-4</v>
      </c>
      <c r="J34" s="8"/>
      <c r="K34" s="8">
        <f>B31</f>
        <v>-421.73326891010873</v>
      </c>
      <c r="L34" s="8"/>
      <c r="M34" s="9">
        <f t="array" ref="M34:M35">MMULT(H34:I35,K34:K35)</f>
        <v>660.80199000818311</v>
      </c>
    </row>
    <row r="35" spans="1:15" x14ac:dyDescent="0.25">
      <c r="A35">
        <f>SQRT((B5-B4)^2+(C5-C4)^2)</f>
        <v>5.9033888572517484E-2</v>
      </c>
      <c r="D35" s="10"/>
      <c r="E35" s="31">
        <f>A32</f>
        <v>3290.0000000000773</v>
      </c>
      <c r="F35" s="31">
        <v>-1</v>
      </c>
      <c r="G35" s="11"/>
      <c r="H35" s="11">
        <v>-0.99999906158974206</v>
      </c>
      <c r="I35" s="11">
        <v>-9.3841025792779894E-7</v>
      </c>
      <c r="J35" s="11"/>
      <c r="K35" s="11">
        <f>B32</f>
        <v>2173618.8540000515</v>
      </c>
      <c r="L35" s="11"/>
      <c r="M35" s="12">
        <v>419.69312692186412</v>
      </c>
    </row>
    <row r="39" spans="1:15" x14ac:dyDescent="0.25">
      <c r="A39" s="32" t="s">
        <v>9</v>
      </c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7"/>
    </row>
    <row r="40" spans="1:15" x14ac:dyDescent="0.25">
      <c r="A40" s="4" t="str">
        <f t="shared" ref="A40:C43" si="2">A18</f>
        <v>TPS0044_calc</v>
      </c>
      <c r="B40" s="5">
        <f t="shared" si="2"/>
        <v>660.80211128858275</v>
      </c>
      <c r="C40" s="5">
        <f t="shared" si="2"/>
        <v>420.09213943698398</v>
      </c>
      <c r="D40" s="5"/>
      <c r="E40" s="33">
        <f>SQRT(($B18-$B$11)^2+($C18-$C$11)^2)</f>
        <v>9.9725881685517132E-2</v>
      </c>
      <c r="F40" s="34">
        <f>SQRT(($B18-$B$12)^2+($C18-$C$12)^2)</f>
        <v>0.36096819743977632</v>
      </c>
      <c r="G40" s="34">
        <f>SQRT(($B18-$B$13)^2+($C18-$C$13)^2)</f>
        <v>0.47244028855832554</v>
      </c>
      <c r="H40" s="35">
        <f>SQRT(($B18-$B$14)^2+($C18-$C$14)^2)</f>
        <v>0.35505704564736001</v>
      </c>
      <c r="I40" s="5"/>
      <c r="J40" s="28">
        <f t="shared" ref="J40:M43" si="3">IF(E40=MIN($E40:$H40),1,0)</f>
        <v>1</v>
      </c>
      <c r="K40" s="29">
        <f t="shared" si="3"/>
        <v>0</v>
      </c>
      <c r="L40" s="29">
        <f t="shared" si="3"/>
        <v>0</v>
      </c>
      <c r="M40" s="30">
        <f t="shared" si="3"/>
        <v>0</v>
      </c>
      <c r="N40" s="5"/>
      <c r="O40" s="36">
        <f t="array" ref="O40:O43">MMULT(J40:M43,D11:D14)</f>
        <v>20.602</v>
      </c>
    </row>
    <row r="41" spans="1:15" x14ac:dyDescent="0.25">
      <c r="A41" s="7" t="str">
        <f t="shared" si="2"/>
        <v>TPS0043_calc</v>
      </c>
      <c r="B41" s="8">
        <f t="shared" si="2"/>
        <v>661.20443894008372</v>
      </c>
      <c r="C41" s="8">
        <f t="shared" si="2"/>
        <v>420.09091692816753</v>
      </c>
      <c r="D41" s="8"/>
      <c r="E41" s="40">
        <f>SQRT(($B19-$B$11)^2+($C19-$C$11)^2)</f>
        <v>0.33971168029432908</v>
      </c>
      <c r="F41" s="41">
        <f>SQRT(($B19-$B$12)^2+($C19-$C$12)^2)</f>
        <v>8.5057085306402061E-2</v>
      </c>
      <c r="G41" s="41">
        <f>SQRT(($B19-$B$13)^2+($C19-$C$13)^2)</f>
        <v>0.33282622967737885</v>
      </c>
      <c r="H41" s="42">
        <f>SQRT(($B19-$B$14)^2+($C19-$C$14)^2)</f>
        <v>0.48958485304152105</v>
      </c>
      <c r="I41" s="8"/>
      <c r="J41" s="7">
        <f t="shared" si="3"/>
        <v>0</v>
      </c>
      <c r="K41" s="8">
        <f t="shared" si="3"/>
        <v>1</v>
      </c>
      <c r="L41" s="8">
        <f t="shared" si="3"/>
        <v>0</v>
      </c>
      <c r="M41" s="9">
        <f t="shared" si="3"/>
        <v>0</v>
      </c>
      <c r="N41" s="8"/>
      <c r="O41" s="20">
        <v>20.603999999999999</v>
      </c>
    </row>
    <row r="42" spans="1:15" x14ac:dyDescent="0.25">
      <c r="A42" s="4" t="str">
        <f t="shared" si="2"/>
        <v>TPS0045_calc</v>
      </c>
      <c r="B42" s="5">
        <f t="shared" si="2"/>
        <v>661.20174091177773</v>
      </c>
      <c r="C42" s="5">
        <f t="shared" si="2"/>
        <v>419.69189274185931</v>
      </c>
      <c r="D42" s="5"/>
      <c r="E42" s="37">
        <f>SQRT(($B20-$B$11)^2+($C20-$C$11)^2)</f>
        <v>0.46587622418506675</v>
      </c>
      <c r="F42" s="38">
        <f>SQRT(($B20-$B$12)^2+($C20-$C$12)^2)</f>
        <v>0.33227070044040674</v>
      </c>
      <c r="G42" s="38">
        <f>SQRT(($B20-$B$13)^2+($C20-$C$13)^2)</f>
        <v>9.3639912519175181E-2</v>
      </c>
      <c r="H42" s="39">
        <f>SQRT(($B20-$B$14)^2+($C20-$C$14)^2)</f>
        <v>0.34440543880361113</v>
      </c>
      <c r="I42" s="5"/>
      <c r="J42" s="4">
        <f t="shared" si="3"/>
        <v>0</v>
      </c>
      <c r="K42" s="5">
        <f t="shared" si="3"/>
        <v>0</v>
      </c>
      <c r="L42" s="5">
        <f t="shared" si="3"/>
        <v>1</v>
      </c>
      <c r="M42" s="6">
        <f t="shared" si="3"/>
        <v>0</v>
      </c>
      <c r="N42" s="5"/>
      <c r="O42" s="19">
        <v>20.602</v>
      </c>
    </row>
    <row r="43" spans="1:15" x14ac:dyDescent="0.25">
      <c r="A43" s="10" t="str">
        <f t="shared" si="2"/>
        <v>TPS0047_calc</v>
      </c>
      <c r="B43" s="11">
        <f t="shared" si="2"/>
        <v>660.80199000818311</v>
      </c>
      <c r="C43" s="11">
        <f t="shared" si="2"/>
        <v>419.69312692186412</v>
      </c>
      <c r="D43" s="11"/>
      <c r="E43" s="43">
        <f>SQRT(($B21-$B$11)^2+($C21-$C$11)^2)</f>
        <v>0.33526430516907291</v>
      </c>
      <c r="F43" s="44">
        <f>SQRT(($B21-$B$12)^2+($C21-$C$12)^2)</f>
        <v>0.48251821693327196</v>
      </c>
      <c r="G43" s="44">
        <f>SQRT(($B21-$B$13)^2+($C21-$C$13)^2)</f>
        <v>0.34731799224890819</v>
      </c>
      <c r="H43" s="45">
        <f>SQRT(($B21-$B$14)^2+($C21-$C$14)^2)</f>
        <v>7.6620864656474108E-2</v>
      </c>
      <c r="I43" s="11"/>
      <c r="J43" s="10">
        <f t="shared" si="3"/>
        <v>0</v>
      </c>
      <c r="K43" s="11">
        <f t="shared" si="3"/>
        <v>0</v>
      </c>
      <c r="L43" s="11">
        <f t="shared" si="3"/>
        <v>0</v>
      </c>
      <c r="M43" s="12">
        <f t="shared" si="3"/>
        <v>1</v>
      </c>
      <c r="N43" s="11"/>
      <c r="O43" s="46">
        <v>20.6</v>
      </c>
    </row>
    <row r="50" spans="2:3" x14ac:dyDescent="0.25">
      <c r="B50" s="2"/>
      <c r="C50" s="2"/>
    </row>
    <row r="51" spans="2:3" x14ac:dyDescent="0.25">
      <c r="B51" s="2"/>
      <c r="C51" s="2"/>
    </row>
    <row r="52" spans="2:3" x14ac:dyDescent="0.25">
      <c r="B52" s="2"/>
      <c r="C52" s="2"/>
    </row>
    <row r="53" spans="2:3" x14ac:dyDescent="0.25">
      <c r="B53" s="2"/>
      <c r="C53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mdExport">
          <controlPr defaultSize="0" autoLine="0" r:id="rId5">
            <anchor moveWithCells="1">
              <from>
                <xdr:col>8</xdr:col>
                <xdr:colOff>295275</xdr:colOff>
                <xdr:row>22</xdr:row>
                <xdr:rowOff>95250</xdr:rowOff>
              </from>
              <to>
                <xdr:col>13</xdr:col>
                <xdr:colOff>304800</xdr:colOff>
                <xdr:row>24</xdr:row>
                <xdr:rowOff>28575</xdr:rowOff>
              </to>
            </anchor>
          </controlPr>
        </control>
      </mc:Choice>
      <mc:Fallback>
        <control shapeId="1028" r:id="rId4" name="cmdExport"/>
      </mc:Fallback>
    </mc:AlternateContent>
    <mc:AlternateContent xmlns:mc="http://schemas.openxmlformats.org/markup-compatibility/2006">
      <mc:Choice Requires="x14">
        <control shapeId="1027" r:id="rId6" name="cmdNext">
          <controlPr autoLine="0" r:id="rId7">
            <anchor moveWithCells="1">
              <from>
                <xdr:col>11</xdr:col>
                <xdr:colOff>95250</xdr:colOff>
                <xdr:row>20</xdr:row>
                <xdr:rowOff>0</xdr:rowOff>
              </from>
              <to>
                <xdr:col>12</xdr:col>
                <xdr:colOff>400050</xdr:colOff>
                <xdr:row>21</xdr:row>
                <xdr:rowOff>114300</xdr:rowOff>
              </to>
            </anchor>
          </controlPr>
        </control>
      </mc:Choice>
      <mc:Fallback>
        <control shapeId="1027" r:id="rId6" name="cmdNext"/>
      </mc:Fallback>
    </mc:AlternateContent>
    <mc:AlternateContent xmlns:mc="http://schemas.openxmlformats.org/markup-compatibility/2006">
      <mc:Choice Requires="x14">
        <control shapeId="1026" r:id="rId8" name="cmdPrev">
          <controlPr autoLine="0" r:id="rId9">
            <anchor moveWithCells="1">
              <from>
                <xdr:col>9</xdr:col>
                <xdr:colOff>209550</xdr:colOff>
                <xdr:row>20</xdr:row>
                <xdr:rowOff>0</xdr:rowOff>
              </from>
              <to>
                <xdr:col>10</xdr:col>
                <xdr:colOff>495300</xdr:colOff>
                <xdr:row>21</xdr:row>
                <xdr:rowOff>114300</xdr:rowOff>
              </to>
            </anchor>
          </controlPr>
        </control>
      </mc:Choice>
      <mc:Fallback>
        <control shapeId="1026" r:id="rId8" name="cmdPrev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F24" sqref="F24"/>
    </sheetView>
  </sheetViews>
  <sheetFormatPr defaultRowHeight="15" x14ac:dyDescent="0.25"/>
  <cols>
    <col min="1" max="1" width="12.42578125" customWidth="1"/>
    <col min="2" max="2" width="9.140625" customWidth="1"/>
    <col min="3" max="3" width="8.85546875" customWidth="1"/>
  </cols>
  <sheetData>
    <row r="1" spans="1:6" x14ac:dyDescent="0.25">
      <c r="A1" t="s">
        <v>66</v>
      </c>
      <c r="B1">
        <v>659.53821253683213</v>
      </c>
      <c r="C1">
        <v>412.56970352831382</v>
      </c>
      <c r="D1">
        <v>20.597999999999999</v>
      </c>
      <c r="E1" t="s">
        <v>47</v>
      </c>
      <c r="F1">
        <v>501</v>
      </c>
    </row>
    <row r="2" spans="1:6" x14ac:dyDescent="0.25">
      <c r="A2" t="s">
        <v>67</v>
      </c>
      <c r="B2">
        <v>659.94025820732111</v>
      </c>
      <c r="C2">
        <v>412.57125582220658</v>
      </c>
      <c r="D2">
        <v>20.597000000000001</v>
      </c>
      <c r="E2" t="s">
        <v>47</v>
      </c>
      <c r="F2">
        <v>501</v>
      </c>
    </row>
    <row r="3" spans="1:6" x14ac:dyDescent="0.25">
      <c r="A3" t="s">
        <v>68</v>
      </c>
      <c r="B3">
        <v>659.93783002575753</v>
      </c>
      <c r="C3">
        <v>412.17635682056221</v>
      </c>
      <c r="D3">
        <v>20.599</v>
      </c>
      <c r="E3" t="s">
        <v>47</v>
      </c>
      <c r="F3">
        <v>501</v>
      </c>
    </row>
    <row r="4" spans="1:6" x14ac:dyDescent="0.25">
      <c r="A4" t="s">
        <v>69</v>
      </c>
      <c r="B4">
        <v>659.53679884337635</v>
      </c>
      <c r="C4">
        <v>412.17258418479184</v>
      </c>
      <c r="D4">
        <v>20.599</v>
      </c>
      <c r="E4" t="s">
        <v>47</v>
      </c>
      <c r="F4">
        <v>501</v>
      </c>
    </row>
    <row r="5" spans="1:6" x14ac:dyDescent="0.25">
      <c r="A5" t="s">
        <v>70</v>
      </c>
      <c r="B5">
        <v>657.41356056758241</v>
      </c>
      <c r="C5">
        <v>418.79628134319802</v>
      </c>
      <c r="D5">
        <v>20.695</v>
      </c>
      <c r="E5" t="s">
        <v>47</v>
      </c>
      <c r="F5">
        <v>502</v>
      </c>
    </row>
    <row r="6" spans="1:6" x14ac:dyDescent="0.25">
      <c r="A6" t="s">
        <v>71</v>
      </c>
      <c r="B6">
        <v>657.81263549602693</v>
      </c>
      <c r="C6">
        <v>418.80154964169793</v>
      </c>
      <c r="D6">
        <v>20.695</v>
      </c>
      <c r="E6" t="s">
        <v>47</v>
      </c>
      <c r="F6">
        <v>502</v>
      </c>
    </row>
    <row r="7" spans="1:6" x14ac:dyDescent="0.25">
      <c r="A7" t="s">
        <v>72</v>
      </c>
      <c r="B7">
        <v>657.81532770700642</v>
      </c>
      <c r="C7">
        <v>418.399</v>
      </c>
      <c r="D7">
        <v>20.696000000000002</v>
      </c>
      <c r="E7" t="s">
        <v>47</v>
      </c>
      <c r="F7">
        <v>502</v>
      </c>
    </row>
    <row r="8" spans="1:6" x14ac:dyDescent="0.25">
      <c r="A8" t="s">
        <v>73</v>
      </c>
      <c r="B8">
        <v>657.41837236024855</v>
      </c>
      <c r="C8">
        <v>418.399</v>
      </c>
      <c r="D8">
        <v>20.696999999999999</v>
      </c>
      <c r="E8" t="s">
        <v>47</v>
      </c>
      <c r="F8">
        <v>502</v>
      </c>
    </row>
    <row r="9" spans="1:6" x14ac:dyDescent="0.25">
      <c r="A9" t="s">
        <v>74</v>
      </c>
      <c r="B9">
        <v>660.80243700567894</v>
      </c>
      <c r="C9">
        <v>416.20114011899108</v>
      </c>
      <c r="D9">
        <v>20.597999999999999</v>
      </c>
      <c r="E9" t="s">
        <v>47</v>
      </c>
      <c r="F9">
        <v>503</v>
      </c>
    </row>
    <row r="10" spans="1:6" x14ac:dyDescent="0.25">
      <c r="A10" t="s">
        <v>75</v>
      </c>
      <c r="B10">
        <v>660.79869165108801</v>
      </c>
      <c r="C10">
        <v>416.59328461433302</v>
      </c>
      <c r="D10">
        <v>20.597999999999999</v>
      </c>
      <c r="E10" t="s">
        <v>47</v>
      </c>
      <c r="F10">
        <v>503</v>
      </c>
    </row>
    <row r="11" spans="1:6" x14ac:dyDescent="0.25">
      <c r="A11" t="s">
        <v>76</v>
      </c>
      <c r="B11">
        <v>661.19737461343755</v>
      </c>
      <c r="C11">
        <v>416.59854601931289</v>
      </c>
      <c r="D11">
        <v>20.600999999999999</v>
      </c>
      <c r="E11" t="s">
        <v>47</v>
      </c>
      <c r="F11">
        <v>503</v>
      </c>
    </row>
    <row r="12" spans="1:6" x14ac:dyDescent="0.25">
      <c r="A12" t="s">
        <v>77</v>
      </c>
      <c r="B12">
        <v>661.20072358404013</v>
      </c>
      <c r="C12">
        <v>416.19985904283038</v>
      </c>
      <c r="D12">
        <v>20.600999999999999</v>
      </c>
      <c r="E12" t="s">
        <v>47</v>
      </c>
      <c r="F12">
        <v>503</v>
      </c>
    </row>
    <row r="13" spans="1:6" x14ac:dyDescent="0.25">
      <c r="A13" t="s">
        <v>78</v>
      </c>
      <c r="B13">
        <v>660.80211128858275</v>
      </c>
      <c r="C13">
        <v>420.09213943698398</v>
      </c>
      <c r="D13">
        <v>20.602</v>
      </c>
      <c r="E13" t="s">
        <v>47</v>
      </c>
      <c r="F13">
        <v>504</v>
      </c>
    </row>
    <row r="14" spans="1:6" x14ac:dyDescent="0.25">
      <c r="A14" t="s">
        <v>79</v>
      </c>
      <c r="B14">
        <v>661.20443894008372</v>
      </c>
      <c r="C14">
        <v>420.09091692816753</v>
      </c>
      <c r="D14">
        <v>20.603999999999999</v>
      </c>
      <c r="E14" t="s">
        <v>47</v>
      </c>
      <c r="F14">
        <v>504</v>
      </c>
    </row>
    <row r="15" spans="1:6" x14ac:dyDescent="0.25">
      <c r="A15" t="s">
        <v>80</v>
      </c>
      <c r="B15">
        <v>661.20174091177773</v>
      </c>
      <c r="C15">
        <v>419.69189274185931</v>
      </c>
      <c r="D15">
        <v>20.602</v>
      </c>
      <c r="E15" t="s">
        <v>47</v>
      </c>
      <c r="F15">
        <v>504</v>
      </c>
    </row>
    <row r="16" spans="1:6" x14ac:dyDescent="0.25">
      <c r="A16" t="s">
        <v>81</v>
      </c>
      <c r="B16">
        <v>660.80199000818311</v>
      </c>
      <c r="C16">
        <v>419.69312692186412</v>
      </c>
      <c r="D16">
        <v>20.6</v>
      </c>
      <c r="E16" t="s">
        <v>47</v>
      </c>
      <c r="F16">
        <v>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</vt:lpstr>
      <vt:lpstr>Calc Intersection</vt:lpstr>
      <vt:lpstr>Export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SurveyCivil, GorgonCivils</cp:lastModifiedBy>
  <dcterms:created xsi:type="dcterms:W3CDTF">2015-03-28T12:10:37Z</dcterms:created>
  <dcterms:modified xsi:type="dcterms:W3CDTF">2015-06-22T05:08:59Z</dcterms:modified>
</cp:coreProperties>
</file>